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Costeo por Sprint" sheetId="2" state="visible" r:id="rId4"/>
    <sheet name="EDT - Historias de Usuario" sheetId="3" state="visible" r:id="rId5"/>
  </sheets>
  <definedNames>
    <definedName function="false" hidden="false" localSheetId="1" name="_xlnm.Print_Area" vbProcedure="false">'Costeo por Sprint'!$A$1:$J$24</definedName>
    <definedName function="false" hidden="false" localSheetId="2" name="_xlnm.Print_Area" vbProcedure="false">'EDT - Historias de Usuario'!$A$1:$E$121</definedName>
    <definedName function="false" hidden="false" localSheetId="0" name="_xlnm.Print_Area" vbProcedure="false">Parámetros!$A$1:$F$22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Promedio Product Manager Chile, Indeed Chile (cl.indeed.com/career/product-manager/salaries), usado como proxy: la muestra específica de Product Owner en Chile es insuficiente (paylab.com reporta &lt;20 respuestas, rango 1.433.755–5.414.623 CLP).</t>
        </r>
      </text>
    </comment>
    <comment ref="D7" authorId="0">
      <text>
        <r>
          <rPr>
            <sz val="10"/>
            <rFont val="Arial"/>
            <family val="2"/>
          </rPr>
          <t xml:space="preserve">Sueldo promedio Scrum Master Chile, julio 2026 — chiletrabajos.cl/sueldos/scrum master</t>
        </r>
      </text>
    </comment>
    <comment ref="D8" authorId="0">
      <text>
        <r>
          <rPr>
            <sz val="10"/>
            <rFont val="Arial"/>
            <family val="2"/>
          </rPr>
          <t xml:space="preserve">Sueldo promedio Programador Fullstack Chile, julio 2026 — chiletrabajos.cl/sueldos/programador/fullstack (alternativa más conservadora: Programador Senior, $1.412.623, misma fuente)</t>
        </r>
      </text>
    </comment>
  </commentList>
</comments>
</file>

<file path=xl/sharedStrings.xml><?xml version="1.0" encoding="utf-8"?>
<sst xmlns="http://schemas.openxmlformats.org/spreadsheetml/2006/main" count="402" uniqueCount="307">
  <si>
    <t xml:space="preserve">Parámetros de Costeo — Proyecto GMG Repuestos (Bot Gmgrepuestos)</t>
  </si>
  <si>
    <t xml:space="preserve">Equipo: Vicente Ignacio Santibáñez Zúñiga (Product Owner) y Martin Felipe Núñez Torres (Scrum Master) — ambos integran el Equipo de Desarrollo</t>
  </si>
  <si>
    <t xml:space="preserve">Costo por Hora según Rol (sueldo promedio de mercado)</t>
  </si>
  <si>
    <t xml:space="preserve">Sigla</t>
  </si>
  <si>
    <t xml:space="preserve">Rol</t>
  </si>
  <si>
    <t xml:space="preserve">Integrante(s)</t>
  </si>
  <si>
    <t xml:space="preserve">Sueldo Mensual Promedio (CLP)</t>
  </si>
  <si>
    <t xml:space="preserve">Horas / Mes</t>
  </si>
  <si>
    <t xml:space="preserve">Costo por Hora (CLP)</t>
  </si>
  <si>
    <t xml:space="preserve">PO</t>
  </si>
  <si>
    <t xml:space="preserve">Product Owner</t>
  </si>
  <si>
    <t xml:space="preserve">Vicente Santibáñez</t>
  </si>
  <si>
    <t xml:space="preserve">SM</t>
  </si>
  <si>
    <t xml:space="preserve">Scrum Master</t>
  </si>
  <si>
    <t xml:space="preserve">Martin Núñez</t>
  </si>
  <si>
    <t xml:space="preserve">ED</t>
  </si>
  <si>
    <t xml:space="preserve">Equipo de Desarrollo (Programador Full Stack)</t>
  </si>
  <si>
    <t xml:space="preserve">Vicente Santibáñez y Martin Núñez</t>
  </si>
  <si>
    <t xml:space="preserve">Supuestos de Dedicación en Ceremonias Scrum (Product Owner y Scrum Master)</t>
  </si>
  <si>
    <t xml:space="preserve">El burndown real solo registra horas de construcción del Equipo de Desarrollo. Las horas de PO y SM se estiman aplicando los topes de tiempo del Scrum Guide (Planning ≤8h, Review ≤4h, Retro ≤3h para un sprint de referencia de 20 días hábiles) escalados según la duración real de cada sprint, más Daily Scrum, refinamiento de backlog y gestión de impedimentos.</t>
  </si>
  <si>
    <t xml:space="preserve">Parámetro</t>
  </si>
  <si>
    <t xml:space="preserve">Valor</t>
  </si>
  <si>
    <t xml:space="preserve">Reparto PO / SM</t>
  </si>
  <si>
    <t xml:space="preserve">Sprint de referencia (días hábiles, Scrum Guide = 1 mes)</t>
  </si>
  <si>
    <t xml:space="preserve">Sprint Planning (h, tope Scrum Guide ≤8h/mes)</t>
  </si>
  <si>
    <t xml:space="preserve">50% / 50%</t>
  </si>
  <si>
    <t xml:space="preserve">Sprint Review (h, tope Scrum Guide ≤4h/mes)</t>
  </si>
  <si>
    <t xml:space="preserve">Retrospectiva (h, tope Scrum Guide ≤3h/mes)</t>
  </si>
  <si>
    <t xml:space="preserve">33% / 67%</t>
  </si>
  <si>
    <t xml:space="preserve">Daily Scrum (h por día hábil, facilitado por SM)</t>
  </si>
  <si>
    <t xml:space="preserve">0% / 100%</t>
  </si>
  <si>
    <t xml:space="preserve">Refinamiento de Backlog (h por día hábil, PO)</t>
  </si>
  <si>
    <t xml:space="preserve">100% / 0%</t>
  </si>
  <si>
    <t xml:space="preserve">Gestión de impedimentos (h por día hábil, SM)</t>
  </si>
  <si>
    <t xml:space="preserve">Celdas en amarillo/azul = supuestos editables. Cambiarlas recalcula el costeo en las hojas siguientes.</t>
  </si>
  <si>
    <t xml:space="preserve">Planilla de Costos — Proyecto GMG Repuestos (por Sprint)</t>
  </si>
  <si>
    <t xml:space="preserve">Horas de Equipo de Desarrollo = burndown real. Horas de Product Owner y Scrum Master = estimadas según supuestos de la hoja 'Parámetros'.</t>
  </si>
  <si>
    <t xml:space="preserve">Sprint</t>
  </si>
  <si>
    <t xml:space="preserve">Fechas</t>
  </si>
  <si>
    <t xml:space="preserve">Días Hábiles</t>
  </si>
  <si>
    <t xml:space="preserve">Horas Equipo Desarrollo</t>
  </si>
  <si>
    <t xml:space="preserve">Costo Equipo Desarrollo</t>
  </si>
  <si>
    <t xml:space="preserve">Horas Product Owner</t>
  </si>
  <si>
    <t xml:space="preserve">Costo Product Owner</t>
  </si>
  <si>
    <t xml:space="preserve">Horas Scrum Master</t>
  </si>
  <si>
    <t xml:space="preserve">Costo Scrum Master</t>
  </si>
  <si>
    <t xml:space="preserve">Costo Total Sprint</t>
  </si>
  <si>
    <t xml:space="preserve">Sprint 1: Levantamiento de requerimientos y catálogo piloto</t>
  </si>
  <si>
    <t xml:space="preserve">01/09/2026 al 14/09/2026</t>
  </si>
  <si>
    <t xml:space="preserve">Sprint 2: Diseño de arquitectura del sistema e integraciones</t>
  </si>
  <si>
    <t xml:space="preserve">07/09/2026 al 18/09/2026</t>
  </si>
  <si>
    <t xml:space="preserve">Sprint 3: Modelado y diseño de la base de datos relacional</t>
  </si>
  <si>
    <t xml:space="preserve">14/09/2026 al 25/09/2026</t>
  </si>
  <si>
    <t xml:space="preserve">Sprint 4: Diseño del flujo de conversaciones y UX/UI del bot</t>
  </si>
  <si>
    <t xml:space="preserve">21/09/2026 al 02/10/2026</t>
  </si>
  <si>
    <t xml:space="preserve">Sprint 5: Implementación de BBDD y desarrollo backend API</t>
  </si>
  <si>
    <t xml:space="preserve">28/09/2026 al 23/10/2026</t>
  </si>
  <si>
    <t xml:space="preserve">Sprint 6: Integración de IA y visión computacional</t>
  </si>
  <si>
    <t xml:space="preserve">19/10/2026 al 13/11/2026</t>
  </si>
  <si>
    <t xml:space="preserve">Sprint 7: Desarrollo de módulo de conversaciones y recomendación</t>
  </si>
  <si>
    <t xml:space="preserve">02/11/2026 al 27/11/2026</t>
  </si>
  <si>
    <t xml:space="preserve">Sprint 8: Integración integral (Frontend + Backend + IA)</t>
  </si>
  <si>
    <t xml:space="preserve">23/11/2026 al 11/12/2026</t>
  </si>
  <si>
    <t xml:space="preserve">Sprint 9: Pruebas de calidad y validación de catálogo</t>
  </si>
  <si>
    <t xml:space="preserve">07/12/2026 al 18/12/2026</t>
  </si>
  <si>
    <t xml:space="preserve">TOTAL PROYECTO</t>
  </si>
  <si>
    <t xml:space="preserve">01/09/2026 – 18/12/2026</t>
  </si>
  <si>
    <t xml:space="preserve">Resumen del Proyecto</t>
  </si>
  <si>
    <t xml:space="preserve">Historias de Usuario totales</t>
  </si>
  <si>
    <t xml:space="preserve">99</t>
  </si>
  <si>
    <t xml:space="preserve">Horas Equipo de Desarrollo (burndown real)</t>
  </si>
  <si>
    <t xml:space="preserve">Horas Product Owner (estimadas, ceremonias)</t>
  </si>
  <si>
    <t xml:space="preserve">Horas Scrum Master (estimadas, ceremonias)</t>
  </si>
  <si>
    <t xml:space="preserve">Costo Equipo de Desarrollo</t>
  </si>
  <si>
    <t xml:space="preserve">COSTO TOTAL DEL PROYECTO</t>
  </si>
  <si>
    <t xml:space="preserve">EDT — Historias de Usuario y Costo del Equipo de Desarrollo (según burndown real por Sprint)</t>
  </si>
  <si>
    <t xml:space="preserve">Fuente: plantilla_burndown_GMG_Repuestos_1.xlsx (horas estimadas por historia, columna 'horas estimadas' de cada hoja Sprint)</t>
  </si>
  <si>
    <t xml:space="preserve">Código</t>
  </si>
  <si>
    <t xml:space="preserve">Historia de Usuario</t>
  </si>
  <si>
    <t xml:space="preserve">Horas Estimadas (Equipo de Desarrollo)</t>
  </si>
  <si>
    <t xml:space="preserve">Costo Equipo de Desarrollo (CLP)</t>
  </si>
  <si>
    <t xml:space="preserve">Sprint 1: Levantamiento de requerimientos y catálogo piloto (01/09/2026 al 14/09/2026)</t>
  </si>
  <si>
    <t xml:space="preserve">Sprint 1</t>
  </si>
  <si>
    <t xml:space="preserve">E2-H4</t>
  </si>
  <si>
    <t xml:space="preserve">Ver compatibilidad por modelo y año</t>
  </si>
  <si>
    <t xml:space="preserve">E2-H2</t>
  </si>
  <si>
    <t xml:space="preserve">Filtrar el catálogo por modelo Suzuki</t>
  </si>
  <si>
    <t xml:space="preserve">E9-H1</t>
  </si>
  <si>
    <t xml:space="preserve">Páginas informativas y legales en el pie</t>
  </si>
  <si>
    <t xml:space="preserve">E10-H14</t>
  </si>
  <si>
    <t xml:space="preserve">Fechas, horarios e idioma de Chile</t>
  </si>
  <si>
    <t xml:space="preserve">Subtotal Sprint 1</t>
  </si>
  <si>
    <t xml:space="preserve">Sprint 2: Diseño de arquitectura del sistema e integraciones (07/09/2026 al 18/09/2026)</t>
  </si>
  <si>
    <t xml:space="preserve">Sprint 2</t>
  </si>
  <si>
    <t xml:space="preserve">E10-H11</t>
  </si>
  <si>
    <t xml:space="preserve">Hosting, ambientes separados y control de versiones</t>
  </si>
  <si>
    <t xml:space="preserve">E8-H8</t>
  </si>
  <si>
    <t xml:space="preserve">Renderizado del catálogo en el servidor</t>
  </si>
  <si>
    <t xml:space="preserve">E10-H4</t>
  </si>
  <si>
    <t xml:space="preserve">Proteger configuración, credenciales y BD</t>
  </si>
  <si>
    <t xml:space="preserve">E10-H1</t>
  </si>
  <si>
    <t xml:space="preserve">Conexión cifrada (HTTPS)</t>
  </si>
  <si>
    <t xml:space="preserve">E10-H13</t>
  </si>
  <si>
    <t xml:space="preserve">Código ordenado y documentado</t>
  </si>
  <si>
    <t xml:space="preserve">Subtotal Sprint 2</t>
  </si>
  <si>
    <t xml:space="preserve">Sprint 3: Modelado y diseño de la base de datos relacional (14/09/2026 al 25/09/2026)</t>
  </si>
  <si>
    <t xml:space="preserve">Sprint 3</t>
  </si>
  <si>
    <t xml:space="preserve">E10-H12</t>
  </si>
  <si>
    <t xml:space="preserve">Agregar modelos y categorías sin cambiar código</t>
  </si>
  <si>
    <t xml:space="preserve">E3-H7</t>
  </si>
  <si>
    <t xml:space="preserve">Registrar el pedido con número único</t>
  </si>
  <si>
    <t xml:space="preserve">E4-H4</t>
  </si>
  <si>
    <t xml:space="preserve">Registrar cada intento de pago</t>
  </si>
  <si>
    <t xml:space="preserve">E10-H7</t>
  </si>
  <si>
    <t xml:space="preserve">Auditoría de cambios en el panel</t>
  </si>
  <si>
    <t xml:space="preserve">Subtotal Sprint 3</t>
  </si>
  <si>
    <t xml:space="preserve">Sprint 4: Diseño del flujo de conversaciones y UX/UI del bot (21/09/2026 al 02/10/2026)</t>
  </si>
  <si>
    <t xml:space="preserve">Sprint 4</t>
  </si>
  <si>
    <t xml:space="preserve">E9-H4</t>
  </si>
  <si>
    <t xml:space="preserve">Identidad visual consistente</t>
  </si>
  <si>
    <t xml:space="preserve">E5-H1</t>
  </si>
  <si>
    <t xml:space="preserve">Chat flotante en todas las páginas</t>
  </si>
  <si>
    <t xml:space="preserve">E5-H4</t>
  </si>
  <si>
    <t xml:space="preserve">Preguntar modelo y año del vehículo</t>
  </si>
  <si>
    <t xml:space="preserve">E5-H9</t>
  </si>
  <si>
    <t xml:space="preserve">Responder horarios, despacho, pagos y garantía</t>
  </si>
  <si>
    <t xml:space="preserve">E9-H2</t>
  </si>
  <si>
    <t xml:space="preserve">Sitio adaptable a celular, tablet y PC</t>
  </si>
  <si>
    <t xml:space="preserve">E9-H3</t>
  </si>
  <si>
    <t xml:space="preserve">Chat adaptado a pantallas móviles</t>
  </si>
  <si>
    <t xml:space="preserve">E9-H6</t>
  </si>
  <si>
    <t xml:space="preserve">Compra en pocos pasos con errores claros</t>
  </si>
  <si>
    <t xml:space="preserve">E9-H7</t>
  </si>
  <si>
    <t xml:space="preserve">Mensajes de carga, éxito y error</t>
  </si>
  <si>
    <t xml:space="preserve">Subtotal Sprint 4</t>
  </si>
  <si>
    <t xml:space="preserve">Sprint 5: Implementación de BBDD y desarrollo backend API (28/09/2026 al 23/10/2026)</t>
  </si>
  <si>
    <t xml:space="preserve">Sprint 5</t>
  </si>
  <si>
    <t xml:space="preserve">E1-H1</t>
  </si>
  <si>
    <t xml:space="preserve">Iniciar sesión en el panel de administración</t>
  </si>
  <si>
    <t xml:space="preserve">E1-H2</t>
  </si>
  <si>
    <t xml:space="preserve">Cerrar sesión desde cualquier vista del panel</t>
  </si>
  <si>
    <t xml:space="preserve">E1-H3</t>
  </si>
  <si>
    <t xml:space="preserve">Exigir sesión activa en todas las páginas del panel</t>
  </si>
  <si>
    <t xml:space="preserve">E1-H5</t>
  </si>
  <si>
    <t xml:space="preserve">Restablecer contraseña por correo</t>
  </si>
  <si>
    <t xml:space="preserve">E6-H1</t>
  </si>
  <si>
    <t xml:space="preserve">Crear, editar, desactivar y eliminar productos</t>
  </si>
  <si>
    <t xml:space="preserve">E6-H2</t>
  </si>
  <si>
    <t xml:space="preserve">Subir imágenes de productos</t>
  </si>
  <si>
    <t xml:space="preserve">E6-H3</t>
  </si>
  <si>
    <t xml:space="preserve">Editar stock y precio desde el listado</t>
  </si>
  <si>
    <t xml:space="preserve">E2-H1</t>
  </si>
  <si>
    <t xml:space="preserve">Listado de repuestos con imagen, precio y stock</t>
  </si>
  <si>
    <t xml:space="preserve">E2-H6</t>
  </si>
  <si>
    <t xml:space="preserve">Indicador de disponibilidad de stock</t>
  </si>
  <si>
    <t xml:space="preserve">E2-H3</t>
  </si>
  <si>
    <t xml:space="preserve">Buscar repuestos por nombre, código u OEM</t>
  </si>
  <si>
    <t xml:space="preserve">E2-H5</t>
  </si>
  <si>
    <t xml:space="preserve">Ficha de producto con detalle completo</t>
  </si>
  <si>
    <t xml:space="preserve">E1-H4</t>
  </si>
  <si>
    <t xml:space="preserve">Comprar como invitado sin crear cuenta</t>
  </si>
  <si>
    <t xml:space="preserve">E3-H1</t>
  </si>
  <si>
    <t xml:space="preserve">Agregar productos al carrito</t>
  </si>
  <si>
    <t xml:space="preserve">E3-H2</t>
  </si>
  <si>
    <t xml:space="preserve">Ver y modificar el carrito</t>
  </si>
  <si>
    <t xml:space="preserve">E3-H3</t>
  </si>
  <si>
    <t xml:space="preserve">Ingresar datos del comprador en el checkout</t>
  </si>
  <si>
    <t xml:space="preserve">E3-H4</t>
  </si>
  <si>
    <t xml:space="preserve">Elegir retiro en tienda o despacho</t>
  </si>
  <si>
    <t xml:space="preserve">E3-H5</t>
  </si>
  <si>
    <t xml:space="preserve">Resumen del pedido antes de pagar</t>
  </si>
  <si>
    <t xml:space="preserve">E3-H6</t>
  </si>
  <si>
    <t xml:space="preserve">Recalcular precios y validar stock en el servidor</t>
  </si>
  <si>
    <t xml:space="preserve">E4-H1</t>
  </si>
  <si>
    <t xml:space="preserve">Pagar en línea con Mercado Pago</t>
  </si>
  <si>
    <t xml:space="preserve">E4-H2</t>
  </si>
  <si>
    <t xml:space="preserve">Recibir y verificar notificaciones de pago</t>
  </si>
  <si>
    <t xml:space="preserve">E4-H3</t>
  </si>
  <si>
    <t xml:space="preserve">Actualizar pedido y stock según el pago</t>
  </si>
  <si>
    <t xml:space="preserve">E6-H4</t>
  </si>
  <si>
    <t xml:space="preserve">Gestionar pedidos y sus estados</t>
  </si>
  <si>
    <t xml:space="preserve">E10-H5</t>
  </si>
  <si>
    <t xml:space="preserve">Validar y almacenar archivos subidos</t>
  </si>
  <si>
    <t xml:space="preserve">E10-H2</t>
  </si>
  <si>
    <t xml:space="preserve">Protección contra inyección SQL, XSS y CSRF</t>
  </si>
  <si>
    <t xml:space="preserve">Subtotal Sprint 5</t>
  </si>
  <si>
    <t xml:space="preserve">Sprint 6: Integración de IA y visión computacional (19/10/2026 al 13/11/2026)</t>
  </si>
  <si>
    <t xml:space="preserve">Sprint 6</t>
  </si>
  <si>
    <t xml:space="preserve">E5-H2</t>
  </si>
  <si>
    <t xml:space="preserve">Conversar con el chatbot en español coloquial</t>
  </si>
  <si>
    <t xml:space="preserve">E5-H3</t>
  </si>
  <si>
    <t xml:space="preserve">Búsqueda de repuestos en el catálogo real</t>
  </si>
  <si>
    <t xml:space="preserve">E5-H15</t>
  </si>
  <si>
    <t xml:space="preserve">Limitar temas y resistir manipulación del chatbot</t>
  </si>
  <si>
    <t xml:space="preserve">E5-H17</t>
  </si>
  <si>
    <t xml:space="preserve">Limitar consumo de la API de IA y proteger la clave</t>
  </si>
  <si>
    <t xml:space="preserve">E5-H16</t>
  </si>
  <si>
    <t xml:space="preserve">Respaldo ante fallas del proveedor de IA</t>
  </si>
  <si>
    <t xml:space="preserve">E5-H13</t>
  </si>
  <si>
    <t xml:space="preserve">Enviar foto de la pieza (visión computacional)</t>
  </si>
  <si>
    <t xml:space="preserve">E10-H3</t>
  </si>
  <si>
    <t xml:space="preserve">Límite de solicitudes y desafío anti-bot</t>
  </si>
  <si>
    <t xml:space="preserve">Subtotal Sprint 6</t>
  </si>
  <si>
    <t xml:space="preserve">Sprint 7: Desarrollo de módulo de conversaciones y recomendación (02/11/2026 al 27/11/2026)</t>
  </si>
  <si>
    <t xml:space="preserve">Sprint 7</t>
  </si>
  <si>
    <t xml:space="preserve">E5-H8</t>
  </si>
  <si>
    <t xml:space="preserve">Recordar la conversación al navegar el sitio</t>
  </si>
  <si>
    <t xml:space="preserve">E5-H5</t>
  </si>
  <si>
    <t xml:space="preserve">Tarjetas de producto dentro del chat</t>
  </si>
  <si>
    <t xml:space="preserve">E5-H6</t>
  </si>
  <si>
    <t xml:space="preserve">Agregar al carrito desde el chat</t>
  </si>
  <si>
    <t xml:space="preserve">E5-H7</t>
  </si>
  <si>
    <t xml:space="preserve">Continuar por WhatsApp con la conversación resumida</t>
  </si>
  <si>
    <t xml:space="preserve">E2-H11</t>
  </si>
  <si>
    <t xml:space="preserve">Productos relacionados en la ficha</t>
  </si>
  <si>
    <t xml:space="preserve">E2-H10</t>
  </si>
  <si>
    <t xml:space="preserve">Alternativas cuando la búsqueda no da resultados</t>
  </si>
  <si>
    <t xml:space="preserve">E2-H7</t>
  </si>
  <si>
    <t xml:space="preserve">Sugerencias en la barra de búsqueda</t>
  </si>
  <si>
    <t xml:space="preserve">E5-H12</t>
  </si>
  <si>
    <t xml:space="preserve">Consultar el estado del pedido en el chat</t>
  </si>
  <si>
    <t xml:space="preserve">E2-H9</t>
  </si>
  <si>
    <t xml:space="preserve">Aviso de reposición en productos sin stock</t>
  </si>
  <si>
    <t xml:space="preserve">E5-H11</t>
  </si>
  <si>
    <t xml:space="preserve">Ofrecer aviso de reposición desde el chat</t>
  </si>
  <si>
    <t xml:space="preserve">E6-H10</t>
  </si>
  <si>
    <t xml:space="preserve">Ver solicitudes de aviso de reposición</t>
  </si>
  <si>
    <t xml:space="preserve">E7-H3</t>
  </si>
  <si>
    <t xml:space="preserve">Correo cuando vuelve el stock</t>
  </si>
  <si>
    <t xml:space="preserve">E5-H10</t>
  </si>
  <si>
    <t xml:space="preserve">Valorar las respuestas del chatbot</t>
  </si>
  <si>
    <t xml:space="preserve">E5-H18</t>
  </si>
  <si>
    <t xml:space="preserve">Informar el almacenamiento de las conversaciones</t>
  </si>
  <si>
    <t xml:space="preserve">E6-H5</t>
  </si>
  <si>
    <t xml:space="preserve">Revisar conversaciones del chatbot</t>
  </si>
  <si>
    <t xml:space="preserve">E6-H9</t>
  </si>
  <si>
    <t xml:space="preserve">Configurar mensajes y datos del chatbot</t>
  </si>
  <si>
    <t xml:space="preserve">E5-H14</t>
  </si>
  <si>
    <t xml:space="preserve">Asistente disponible en Telegram</t>
  </si>
  <si>
    <t xml:space="preserve">Subtotal Sprint 7</t>
  </si>
  <si>
    <t xml:space="preserve">Sprint 8: Integración integral (Frontend + Backend + IA) (23/11/2026 al 11/12/2026)</t>
  </si>
  <si>
    <t xml:space="preserve">Sprint 8</t>
  </si>
  <si>
    <t xml:space="preserve">E3-H8</t>
  </si>
  <si>
    <t xml:space="preserve">Confirmación de compra con número de pedido</t>
  </si>
  <si>
    <t xml:space="preserve">E4-H5</t>
  </si>
  <si>
    <t xml:space="preserve">Reintentar pago rechazado o cancelado</t>
  </si>
  <si>
    <t xml:space="preserve">E7-H1</t>
  </si>
  <si>
    <t xml:space="preserve">Aviso interno de pago aprobado</t>
  </si>
  <si>
    <t xml:space="preserve">E7-H2</t>
  </si>
  <si>
    <t xml:space="preserve">Correo de pedido despachado o listo para retiro</t>
  </si>
  <si>
    <t xml:space="preserve">E3-H9</t>
  </si>
  <si>
    <t xml:space="preserve">Conservar el carrito entre visitas</t>
  </si>
  <si>
    <t xml:space="preserve">E3-H10</t>
  </si>
  <si>
    <t xml:space="preserve">Aplicar código de descuento</t>
  </si>
  <si>
    <t xml:space="preserve">E6-H7</t>
  </si>
  <si>
    <t xml:space="preserve">Gestionar códigos de descuento</t>
  </si>
  <si>
    <t xml:space="preserve">E3-H11</t>
  </si>
  <si>
    <t xml:space="preserve">Finalizar la compra por WhatsApp</t>
  </si>
  <si>
    <t xml:space="preserve">E7-H4</t>
  </si>
  <si>
    <t xml:space="preserve">Acceso visible a WhatsApp con mensaje preparado</t>
  </si>
  <si>
    <t xml:space="preserve">E2-H8</t>
  </si>
  <si>
    <t xml:space="preserve">Filtrar y ordenar por categoría, precio y stock</t>
  </si>
  <si>
    <t xml:space="preserve">E1-H6</t>
  </si>
  <si>
    <t xml:space="preserve">Gestionar cuentas de administración</t>
  </si>
  <si>
    <t xml:space="preserve">E1-H7</t>
  </si>
  <si>
    <t xml:space="preserve">Roles Administrador y Vendedor</t>
  </si>
  <si>
    <t xml:space="preserve">E6-H6</t>
  </si>
  <si>
    <t xml:space="preserve">Dashboard con indicadores clave</t>
  </si>
  <si>
    <t xml:space="preserve">E6-H11</t>
  </si>
  <si>
    <t xml:space="preserve">Editar banners y páginas informativas</t>
  </si>
  <si>
    <t xml:space="preserve">E6-H12</t>
  </si>
  <si>
    <t xml:space="preserve">Reportes de ventas y búsquedas exportables</t>
  </si>
  <si>
    <t xml:space="preserve">E8-H1</t>
  </si>
  <si>
    <t xml:space="preserve">Title y meta description únicos</t>
  </si>
  <si>
    <t xml:space="preserve">E8-H3</t>
  </si>
  <si>
    <t xml:space="preserve">Direcciones (URL) legibles</t>
  </si>
  <si>
    <t xml:space="preserve">E8-H4</t>
  </si>
  <si>
    <t xml:space="preserve">Datos estructurados Schema.org</t>
  </si>
  <si>
    <t xml:space="preserve">E8-H7</t>
  </si>
  <si>
    <t xml:space="preserve">Migas de pan en fichas y categorías</t>
  </si>
  <si>
    <t xml:space="preserve">E8-H6</t>
  </si>
  <si>
    <t xml:space="preserve">Medición con Google Analytics 4</t>
  </si>
  <si>
    <t xml:space="preserve">Subtotal Sprint 8</t>
  </si>
  <si>
    <t xml:space="preserve">Sprint 9: Pruebas de calidad y validación de catálogo (07/12/2026 al 18/12/2026)</t>
  </si>
  <si>
    <t xml:space="preserve">Sprint 9</t>
  </si>
  <si>
    <t xml:space="preserve">E6-H8</t>
  </si>
  <si>
    <t xml:space="preserve">Importar productos, precios y stock desde CSV o Excel</t>
  </si>
  <si>
    <t xml:space="preserve">E8-H9</t>
  </si>
  <si>
    <t xml:space="preserve">Texto alternativo en imágenes de producto</t>
  </si>
  <si>
    <t xml:space="preserve">E8-H2</t>
  </si>
  <si>
    <t xml:space="preserve">Sitemap.xml y robots.txt</t>
  </si>
  <si>
    <t xml:space="preserve">E8-H5</t>
  </si>
  <si>
    <t xml:space="preserve">Etiquetas Open Graph</t>
  </si>
  <si>
    <t xml:space="preserve">E10-H8</t>
  </si>
  <si>
    <t xml:space="preserve">Carga rápida de páginas</t>
  </si>
  <si>
    <t xml:space="preserve">E9-H5</t>
  </si>
  <si>
    <t xml:space="preserve">Accesibilidad con teclado y lectores de pantalla</t>
  </si>
  <si>
    <t xml:space="preserve">E10-H6</t>
  </si>
  <si>
    <t xml:space="preserve">Datos personales con consentimiento</t>
  </si>
  <si>
    <t xml:space="preserve">E7-H5</t>
  </si>
  <si>
    <t xml:space="preserve">Correos que llegan a la bandeja de entrada</t>
  </si>
  <si>
    <t xml:space="preserve">E10-H9</t>
  </si>
  <si>
    <t xml:space="preserve">Respaldos automáticos y restauración probada</t>
  </si>
  <si>
    <t xml:space="preserve">E10-H10</t>
  </si>
  <si>
    <t xml:space="preserve">Disponibilidad y detección de fallos</t>
  </si>
  <si>
    <t xml:space="preserve">Subtotal Sprint 9</t>
  </si>
  <si>
    <t xml:space="preserve">TOTAL PROYECTO (99 historias de usuario)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</si>
</sst>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7.75" hidden="false" customHeight="true" outlineLevel="0" collapsed="false">
      <c r="A6" s="5" t="s">
        <v>9</v>
      </c>
      <c r="B6" s="6" t="s">
        <v>10</v>
      </c>
      <c r="C6" s="7" t="s">
        <v>11</v>
      </c>
      <c r="D6" s="8" t="n">
        <v>1369009</v>
      </c>
      <c r="E6" s="9" t="n">
        <v>180</v>
      </c>
      <c r="F6" s="10" t="n">
        <f aca="false">D6/E6</f>
        <v>7605.60555555556</v>
      </c>
    </row>
    <row r="7" customFormat="false" ht="27.75" hidden="false" customHeight="true" outlineLevel="0" collapsed="false">
      <c r="A7" s="5" t="s">
        <v>12</v>
      </c>
      <c r="B7" s="6" t="s">
        <v>13</v>
      </c>
      <c r="C7" s="7" t="s">
        <v>14</v>
      </c>
      <c r="D7" s="8" t="n">
        <v>1962255</v>
      </c>
      <c r="E7" s="9" t="n">
        <v>180</v>
      </c>
      <c r="F7" s="10" t="n">
        <f aca="false">D7/E7</f>
        <v>10901.4166666667</v>
      </c>
    </row>
    <row r="8" customFormat="false" ht="27.75" hidden="false" customHeight="true" outlineLevel="0" collapsed="false">
      <c r="A8" s="5" t="s">
        <v>15</v>
      </c>
      <c r="B8" s="6" t="s">
        <v>16</v>
      </c>
      <c r="C8" s="7" t="s">
        <v>17</v>
      </c>
      <c r="D8" s="8" t="n">
        <v>987539</v>
      </c>
      <c r="E8" s="9" t="n">
        <v>180</v>
      </c>
      <c r="F8" s="10" t="n">
        <f aca="false">D8/E8</f>
        <v>5486.32777777778</v>
      </c>
    </row>
    <row r="11" customFormat="false" ht="15" hidden="false" customHeight="false" outlineLevel="0" collapsed="false">
      <c r="A11" s="3" t="s">
        <v>18</v>
      </c>
    </row>
    <row r="12" customFormat="false" ht="30" hidden="false" customHeight="true" outlineLevel="0" collapsed="false">
      <c r="A12" s="2" t="s">
        <v>19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4" t="s">
        <v>20</v>
      </c>
      <c r="B13" s="4" t="s">
        <v>21</v>
      </c>
      <c r="C13" s="4" t="s">
        <v>22</v>
      </c>
    </row>
    <row r="14" customFormat="false" ht="15" hidden="false" customHeight="false" outlineLevel="0" collapsed="false">
      <c r="A14" s="11" t="s">
        <v>23</v>
      </c>
      <c r="B14" s="12" t="n">
        <v>20</v>
      </c>
      <c r="C14" s="13"/>
    </row>
    <row r="15" customFormat="false" ht="15" hidden="false" customHeight="false" outlineLevel="0" collapsed="false">
      <c r="A15" s="11" t="s">
        <v>24</v>
      </c>
      <c r="B15" s="12" t="n">
        <v>8</v>
      </c>
      <c r="C15" s="13" t="s">
        <v>25</v>
      </c>
    </row>
    <row r="16" customFormat="false" ht="15" hidden="false" customHeight="false" outlineLevel="0" collapsed="false">
      <c r="A16" s="11" t="s">
        <v>26</v>
      </c>
      <c r="B16" s="12" t="n">
        <v>4</v>
      </c>
      <c r="C16" s="13" t="s">
        <v>25</v>
      </c>
    </row>
    <row r="17" customFormat="false" ht="15" hidden="false" customHeight="false" outlineLevel="0" collapsed="false">
      <c r="A17" s="11" t="s">
        <v>27</v>
      </c>
      <c r="B17" s="12" t="n">
        <v>3</v>
      </c>
      <c r="C17" s="13" t="s">
        <v>28</v>
      </c>
    </row>
    <row r="18" customFormat="false" ht="15" hidden="false" customHeight="false" outlineLevel="0" collapsed="false">
      <c r="A18" s="11" t="s">
        <v>29</v>
      </c>
      <c r="B18" s="12" t="n">
        <v>0.25</v>
      </c>
      <c r="C18" s="13" t="s">
        <v>30</v>
      </c>
    </row>
    <row r="19" customFormat="false" ht="15" hidden="false" customHeight="false" outlineLevel="0" collapsed="false">
      <c r="A19" s="11" t="s">
        <v>31</v>
      </c>
      <c r="B19" s="12" t="n">
        <v>0.15</v>
      </c>
      <c r="C19" s="13" t="s">
        <v>32</v>
      </c>
    </row>
    <row r="20" customFormat="false" ht="15" hidden="false" customHeight="false" outlineLevel="0" collapsed="false">
      <c r="A20" s="11" t="s">
        <v>33</v>
      </c>
      <c r="B20" s="12" t="n">
        <v>0.15</v>
      </c>
      <c r="C20" s="13" t="s">
        <v>30</v>
      </c>
    </row>
    <row r="22" customFormat="false" ht="15" hidden="false" customHeight="false" outlineLevel="0" collapsed="false">
      <c r="A22" s="14" t="s">
        <v>34</v>
      </c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</row>
    <row r="4" customFormat="false" ht="15" hidden="false" customHeight="false" outlineLevel="0" collapsed="false">
      <c r="A4" s="15" t="s">
        <v>47</v>
      </c>
      <c r="B4" s="16" t="s">
        <v>48</v>
      </c>
      <c r="C4" s="17" t="n">
        <v>10</v>
      </c>
      <c r="D4" s="18" t="n">
        <f aca="false">'EDT - Historias de Usuario'!D9</f>
        <v>68</v>
      </c>
      <c r="E4" s="19" t="n">
        <f aca="false">D4*Parámetros!$F$8</f>
        <v>373070.288888889</v>
      </c>
      <c r="F4" s="20" t="n">
        <f aca="false">((Parámetros!$B$15*0.5)+(Parámetros!$B$16*0.5)+(Parámetros!$B$17*(1/3)))*(C4/Parámetros!$B$14)+(Parámetros!$B$19*C4)</f>
        <v>5</v>
      </c>
      <c r="G4" s="19" t="n">
        <f aca="false">F4*Parámetros!$F$6</f>
        <v>38028.0277777778</v>
      </c>
      <c r="H4" s="20" t="n">
        <f aca="false">(Parámetros!$B$18*C4)+(((Parámetros!$B$15*0.5)+(Parámetros!$B$16*0.5)+(Parámetros!$B$17*(2/3)))*(C4/Parámetros!$B$14))+(Parámetros!$B$20*C4)</f>
        <v>8</v>
      </c>
      <c r="I4" s="19" t="n">
        <f aca="false">H4*Parámetros!$F$7</f>
        <v>87211.3333333333</v>
      </c>
      <c r="J4" s="21" t="n">
        <f aca="false">E4+G4+I4</f>
        <v>498309.65</v>
      </c>
    </row>
    <row r="5" customFormat="false" ht="15" hidden="false" customHeight="false" outlineLevel="0" collapsed="false">
      <c r="A5" s="15" t="s">
        <v>49</v>
      </c>
      <c r="B5" s="16" t="s">
        <v>50</v>
      </c>
      <c r="C5" s="17" t="n">
        <v>9</v>
      </c>
      <c r="D5" s="18" t="n">
        <f aca="false">'EDT - Historias de Usuario'!D16</f>
        <v>63</v>
      </c>
      <c r="E5" s="19" t="n">
        <f aca="false">D5*Parámetros!$F$8</f>
        <v>345638.65</v>
      </c>
      <c r="F5" s="20" t="n">
        <f aca="false">((Parámetros!$B$15*0.5)+(Parámetros!$B$16*0.5)+(Parámetros!$B$17*(1/3)))*(C5/Parámetros!$B$14)+(Parámetros!$B$19*C5)</f>
        <v>4.5</v>
      </c>
      <c r="G5" s="19" t="n">
        <f aca="false">F5*Parámetros!$F$6</f>
        <v>34225.225</v>
      </c>
      <c r="H5" s="20" t="n">
        <f aca="false">(Parámetros!$B$18*C5)+(((Parámetros!$B$15*0.5)+(Parámetros!$B$16*0.5)+(Parámetros!$B$17*(2/3)))*(C5/Parámetros!$B$14))+(Parámetros!$B$20*C5)</f>
        <v>7.2</v>
      </c>
      <c r="I5" s="19" t="n">
        <f aca="false">H5*Parámetros!$F$7</f>
        <v>78490.2</v>
      </c>
      <c r="J5" s="21" t="n">
        <f aca="false">E5+G5+I5</f>
        <v>458354.075</v>
      </c>
    </row>
    <row r="6" customFormat="false" ht="15" hidden="false" customHeight="false" outlineLevel="0" collapsed="false">
      <c r="A6" s="15" t="s">
        <v>51</v>
      </c>
      <c r="B6" s="16" t="s">
        <v>52</v>
      </c>
      <c r="C6" s="17" t="n">
        <v>9</v>
      </c>
      <c r="D6" s="18" t="n">
        <f aca="false">'EDT - Historias de Usuario'!D22</f>
        <v>57</v>
      </c>
      <c r="E6" s="19" t="n">
        <f aca="false">D6*Parámetros!$F$8</f>
        <v>312720.683333333</v>
      </c>
      <c r="F6" s="20" t="n">
        <f aca="false">((Parámetros!$B$15*0.5)+(Parámetros!$B$16*0.5)+(Parámetros!$B$17*(1/3)))*(C6/Parámetros!$B$14)+(Parámetros!$B$19*C6)</f>
        <v>4.5</v>
      </c>
      <c r="G6" s="19" t="n">
        <f aca="false">F6*Parámetros!$F$6</f>
        <v>34225.225</v>
      </c>
      <c r="H6" s="20" t="n">
        <f aca="false">(Parámetros!$B$18*C6)+(((Parámetros!$B$15*0.5)+(Parámetros!$B$16*0.5)+(Parámetros!$B$17*(2/3)))*(C6/Parámetros!$B$14))+(Parámetros!$B$20*C6)</f>
        <v>7.2</v>
      </c>
      <c r="I6" s="19" t="n">
        <f aca="false">H6*Parámetros!$F$7</f>
        <v>78490.2</v>
      </c>
      <c r="J6" s="21" t="n">
        <f aca="false">E6+G6+I6</f>
        <v>425436.108333333</v>
      </c>
    </row>
    <row r="7" customFormat="false" ht="15" hidden="false" customHeight="false" outlineLevel="0" collapsed="false">
      <c r="A7" s="15" t="s">
        <v>53</v>
      </c>
      <c r="B7" s="16" t="s">
        <v>54</v>
      </c>
      <c r="C7" s="17" t="n">
        <v>10</v>
      </c>
      <c r="D7" s="18" t="n">
        <f aca="false">'EDT - Historias de Usuario'!D32</f>
        <v>82</v>
      </c>
      <c r="E7" s="19" t="n">
        <f aca="false">D7*Parámetros!$F$8</f>
        <v>449878.877777778</v>
      </c>
      <c r="F7" s="20" t="n">
        <f aca="false">((Parámetros!$B$15*0.5)+(Parámetros!$B$16*0.5)+(Parámetros!$B$17*(1/3)))*(C7/Parámetros!$B$14)+(Parámetros!$B$19*C7)</f>
        <v>5</v>
      </c>
      <c r="G7" s="19" t="n">
        <f aca="false">F7*Parámetros!$F$6</f>
        <v>38028.0277777778</v>
      </c>
      <c r="H7" s="20" t="n">
        <f aca="false">(Parámetros!$B$18*C7)+(((Parámetros!$B$15*0.5)+(Parámetros!$B$16*0.5)+(Parámetros!$B$17*(2/3)))*(C7/Parámetros!$B$14))+(Parámetros!$B$20*C7)</f>
        <v>8</v>
      </c>
      <c r="I7" s="19" t="n">
        <f aca="false">H7*Parámetros!$F$7</f>
        <v>87211.3333333333</v>
      </c>
      <c r="J7" s="21" t="n">
        <f aca="false">E7+G7+I7</f>
        <v>575118.238888889</v>
      </c>
    </row>
    <row r="8" customFormat="false" ht="15" hidden="false" customHeight="false" outlineLevel="0" collapsed="false">
      <c r="A8" s="15" t="s">
        <v>55</v>
      </c>
      <c r="B8" s="16" t="s">
        <v>56</v>
      </c>
      <c r="C8" s="17" t="n">
        <v>19</v>
      </c>
      <c r="D8" s="18" t="n">
        <f aca="false">'EDT - Historias de Usuario'!D58</f>
        <v>200</v>
      </c>
      <c r="E8" s="19" t="n">
        <f aca="false">D8*Parámetros!$F$8</f>
        <v>1097265.55555556</v>
      </c>
      <c r="F8" s="20" t="n">
        <f aca="false">((Parámetros!$B$15*0.5)+(Parámetros!$B$16*0.5)+(Parámetros!$B$17*(1/3)))*(C8/Parámetros!$B$14)+(Parámetros!$B$19*C8)</f>
        <v>9.5</v>
      </c>
      <c r="G8" s="19" t="n">
        <f aca="false">F8*Parámetros!$F$6</f>
        <v>72253.2527777778</v>
      </c>
      <c r="H8" s="20" t="n">
        <f aca="false">(Parámetros!$B$18*C8)+(((Parámetros!$B$15*0.5)+(Parámetros!$B$16*0.5)+(Parámetros!$B$17*(2/3)))*(C8/Parámetros!$B$14))+(Parámetros!$B$20*C8)</f>
        <v>15.2</v>
      </c>
      <c r="I8" s="19" t="n">
        <f aca="false">H8*Parámetros!$F$7</f>
        <v>165701.533333333</v>
      </c>
      <c r="J8" s="21" t="n">
        <f aca="false">E8+G8+I8</f>
        <v>1335220.34166667</v>
      </c>
    </row>
    <row r="9" customFormat="false" ht="15" hidden="false" customHeight="false" outlineLevel="0" collapsed="false">
      <c r="A9" s="15" t="s">
        <v>57</v>
      </c>
      <c r="B9" s="16" t="s">
        <v>58</v>
      </c>
      <c r="C9" s="17" t="n">
        <v>20</v>
      </c>
      <c r="D9" s="18" t="n">
        <f aca="false">'EDT - Historias de Usuario'!D67</f>
        <v>122</v>
      </c>
      <c r="E9" s="19" t="n">
        <f aca="false">D9*Parámetros!$F$8</f>
        <v>669331.988888889</v>
      </c>
      <c r="F9" s="20" t="n">
        <f aca="false">((Parámetros!$B$15*0.5)+(Parámetros!$B$16*0.5)+(Parámetros!$B$17*(1/3)))*(C9/Parámetros!$B$14)+(Parámetros!$B$19*C9)</f>
        <v>10</v>
      </c>
      <c r="G9" s="19" t="n">
        <f aca="false">F9*Parámetros!$F$6</f>
        <v>76056.0555555556</v>
      </c>
      <c r="H9" s="20" t="n">
        <f aca="false">(Parámetros!$B$18*C9)+(((Parámetros!$B$15*0.5)+(Parámetros!$B$16*0.5)+(Parámetros!$B$17*(2/3)))*(C9/Parámetros!$B$14))+(Parámetros!$B$20*C9)</f>
        <v>16</v>
      </c>
      <c r="I9" s="19" t="n">
        <f aca="false">H9*Parámetros!$F$7</f>
        <v>174422.666666667</v>
      </c>
      <c r="J9" s="21" t="n">
        <f aca="false">E9+G9+I9</f>
        <v>919810.711111111</v>
      </c>
    </row>
    <row r="10" customFormat="false" ht="15" hidden="false" customHeight="false" outlineLevel="0" collapsed="false">
      <c r="A10" s="15" t="s">
        <v>59</v>
      </c>
      <c r="B10" s="16" t="s">
        <v>60</v>
      </c>
      <c r="C10" s="17" t="n">
        <v>20</v>
      </c>
      <c r="D10" s="18" t="n">
        <f aca="false">'EDT - Historias de Usuario'!D86</f>
        <v>118</v>
      </c>
      <c r="E10" s="19" t="n">
        <f aca="false">D10*Parámetros!$F$8</f>
        <v>647386.677777778</v>
      </c>
      <c r="F10" s="20" t="n">
        <f aca="false">((Parámetros!$B$15*0.5)+(Parámetros!$B$16*0.5)+(Parámetros!$B$17*(1/3)))*(C10/Parámetros!$B$14)+(Parámetros!$B$19*C10)</f>
        <v>10</v>
      </c>
      <c r="G10" s="19" t="n">
        <f aca="false">F10*Parámetros!$F$6</f>
        <v>76056.0555555556</v>
      </c>
      <c r="H10" s="20" t="n">
        <f aca="false">(Parámetros!$B$18*C10)+(((Parámetros!$B$15*0.5)+(Parámetros!$B$16*0.5)+(Parámetros!$B$17*(2/3)))*(C10/Parámetros!$B$14))+(Parámetros!$B$20*C10)</f>
        <v>16</v>
      </c>
      <c r="I10" s="19" t="n">
        <f aca="false">H10*Parámetros!$F$7</f>
        <v>174422.666666667</v>
      </c>
      <c r="J10" s="21" t="n">
        <f aca="false">E10+G10+I10</f>
        <v>897865.4</v>
      </c>
    </row>
    <row r="11" customFormat="false" ht="15" hidden="false" customHeight="false" outlineLevel="0" collapsed="false">
      <c r="A11" s="15" t="s">
        <v>61</v>
      </c>
      <c r="B11" s="16" t="s">
        <v>62</v>
      </c>
      <c r="C11" s="17" t="n">
        <v>14</v>
      </c>
      <c r="D11" s="18" t="n">
        <f aca="false">'EDT - Historias de Usuario'!D108</f>
        <v>134</v>
      </c>
      <c r="E11" s="19" t="n">
        <f aca="false">D11*Parámetros!$F$8</f>
        <v>735167.922222222</v>
      </c>
      <c r="F11" s="20" t="n">
        <f aca="false">((Parámetros!$B$15*0.5)+(Parámetros!$B$16*0.5)+(Parámetros!$B$17*(1/3)))*(C11/Parámetros!$B$14)+(Parámetros!$B$19*C11)</f>
        <v>7</v>
      </c>
      <c r="G11" s="19" t="n">
        <f aca="false">F11*Parámetros!$F$6</f>
        <v>53239.2388888889</v>
      </c>
      <c r="H11" s="20" t="n">
        <f aca="false">(Parámetros!$B$18*C11)+(((Parámetros!$B$15*0.5)+(Parámetros!$B$16*0.5)+(Parámetros!$B$17*(2/3)))*(C11/Parámetros!$B$14))+(Parámetros!$B$20*C11)</f>
        <v>11.2</v>
      </c>
      <c r="I11" s="19" t="n">
        <f aca="false">H11*Parámetros!$F$7</f>
        <v>122095.866666667</v>
      </c>
      <c r="J11" s="21" t="n">
        <f aca="false">E11+G11+I11</f>
        <v>910503.027777778</v>
      </c>
    </row>
    <row r="12" customFormat="false" ht="15" hidden="false" customHeight="false" outlineLevel="0" collapsed="false">
      <c r="A12" s="15" t="s">
        <v>63</v>
      </c>
      <c r="B12" s="16" t="s">
        <v>64</v>
      </c>
      <c r="C12" s="17" t="n">
        <v>9</v>
      </c>
      <c r="D12" s="18" t="n">
        <f aca="false">'EDT - Historias de Usuario'!D120</f>
        <v>81</v>
      </c>
      <c r="E12" s="19" t="n">
        <f aca="false">D12*Parámetros!$F$8</f>
        <v>444392.55</v>
      </c>
      <c r="F12" s="20" t="n">
        <f aca="false">((Parámetros!$B$15*0.5)+(Parámetros!$B$16*0.5)+(Parámetros!$B$17*(1/3)))*(C12/Parámetros!$B$14)+(Parámetros!$B$19*C12)</f>
        <v>4.5</v>
      </c>
      <c r="G12" s="19" t="n">
        <f aca="false">F12*Parámetros!$F$6</f>
        <v>34225.225</v>
      </c>
      <c r="H12" s="20" t="n">
        <f aca="false">(Parámetros!$B$18*C12)+(((Parámetros!$B$15*0.5)+(Parámetros!$B$16*0.5)+(Parámetros!$B$17*(2/3)))*(C12/Parámetros!$B$14))+(Parámetros!$B$20*C12)</f>
        <v>7.2</v>
      </c>
      <c r="I12" s="19" t="n">
        <f aca="false">H12*Parámetros!$F$7</f>
        <v>78490.2</v>
      </c>
      <c r="J12" s="21" t="n">
        <f aca="false">E12+G12+I12</f>
        <v>557107.975</v>
      </c>
    </row>
    <row r="13" customFormat="false" ht="15" hidden="false" customHeight="false" outlineLevel="0" collapsed="false">
      <c r="A13" s="22" t="s">
        <v>65</v>
      </c>
      <c r="B13" s="23" t="s">
        <v>66</v>
      </c>
      <c r="C13" s="24" t="n">
        <f aca="false">SUM(C4:C12)</f>
        <v>120</v>
      </c>
      <c r="D13" s="24" t="n">
        <f aca="false">SUM(D4:D12)</f>
        <v>925</v>
      </c>
      <c r="E13" s="25" t="n">
        <f aca="false">SUM(E4:E12)</f>
        <v>5074853.19444444</v>
      </c>
      <c r="F13" s="26" t="n">
        <f aca="false">SUM(F4:F12)</f>
        <v>60</v>
      </c>
      <c r="G13" s="25" t="n">
        <f aca="false">SUM(G4:G12)</f>
        <v>456336.333333333</v>
      </c>
      <c r="H13" s="26" t="n">
        <f aca="false">SUM(H4:H12)</f>
        <v>96</v>
      </c>
      <c r="I13" s="25" t="n">
        <f aca="false">SUM(I4:I12)</f>
        <v>1046536</v>
      </c>
      <c r="J13" s="25" t="n">
        <f aca="false">SUM(J4:J12)</f>
        <v>6577725.52777778</v>
      </c>
    </row>
    <row r="15" customFormat="false" ht="15" hidden="false" customHeight="false" outlineLevel="0" collapsed="false">
      <c r="A15" s="27" t="s">
        <v>67</v>
      </c>
    </row>
    <row r="16" customFormat="false" ht="15" hidden="false" customHeight="false" outlineLevel="0" collapsed="false">
      <c r="A16" s="28" t="s">
        <v>68</v>
      </c>
      <c r="B16" s="28" t="s">
        <v>69</v>
      </c>
    </row>
    <row r="17" customFormat="false" ht="15" hidden="false" customHeight="false" outlineLevel="0" collapsed="false">
      <c r="A17" s="28" t="s">
        <v>70</v>
      </c>
      <c r="B17" s="29" t="n">
        <f aca="false">D13</f>
        <v>925</v>
      </c>
    </row>
    <row r="18" customFormat="false" ht="15" hidden="false" customHeight="false" outlineLevel="0" collapsed="false">
      <c r="A18" s="28" t="s">
        <v>71</v>
      </c>
      <c r="B18" s="30" t="n">
        <f aca="false">F13</f>
        <v>60</v>
      </c>
    </row>
    <row r="19" customFormat="false" ht="15" hidden="false" customHeight="false" outlineLevel="0" collapsed="false">
      <c r="A19" s="28" t="s">
        <v>72</v>
      </c>
      <c r="B19" s="30" t="n">
        <f aca="false">H13</f>
        <v>96</v>
      </c>
    </row>
    <row r="20" customFormat="false" ht="15" hidden="false" customHeight="false" outlineLevel="0" collapsed="false">
      <c r="A20" s="28" t="s">
        <v>73</v>
      </c>
      <c r="B20" s="31" t="n">
        <f aca="false">E13</f>
        <v>5074853.19444444</v>
      </c>
    </row>
    <row r="21" customFormat="false" ht="15" hidden="false" customHeight="false" outlineLevel="0" collapsed="false">
      <c r="A21" s="28" t="s">
        <v>43</v>
      </c>
      <c r="B21" s="31" t="n">
        <f aca="false">G13</f>
        <v>456336.333333333</v>
      </c>
    </row>
    <row r="22" customFormat="false" ht="15" hidden="false" customHeight="false" outlineLevel="0" collapsed="false">
      <c r="A22" s="28" t="s">
        <v>45</v>
      </c>
      <c r="B22" s="31" t="n">
        <f aca="false">I13</f>
        <v>1046536</v>
      </c>
    </row>
    <row r="23" customFormat="false" ht="15" hidden="false" customHeight="false" outlineLevel="0" collapsed="false">
      <c r="A23" s="32" t="s">
        <v>74</v>
      </c>
      <c r="B23" s="33" t="n">
        <f aca="false">J13</f>
        <v>6577725.52777778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4" t="s">
        <v>75</v>
      </c>
      <c r="B1" s="34"/>
      <c r="C1" s="34"/>
      <c r="D1" s="34"/>
      <c r="E1" s="34"/>
    </row>
    <row r="2" customFormat="false" ht="15" hidden="false" customHeight="false" outlineLevel="0" collapsed="false">
      <c r="A2" s="2" t="s">
        <v>76</v>
      </c>
      <c r="B2" s="2"/>
      <c r="C2" s="2"/>
      <c r="D2" s="2"/>
      <c r="E2" s="2"/>
    </row>
    <row r="3" customFormat="false" ht="46.25" hidden="false" customHeight="false" outlineLevel="0" collapsed="false">
      <c r="A3" s="4" t="s">
        <v>37</v>
      </c>
      <c r="B3" s="4" t="s">
        <v>77</v>
      </c>
      <c r="C3" s="4" t="s">
        <v>78</v>
      </c>
      <c r="D3" s="4" t="s">
        <v>79</v>
      </c>
      <c r="E3" s="4" t="s">
        <v>80</v>
      </c>
    </row>
    <row r="4" customFormat="false" ht="15" hidden="false" customHeight="false" outlineLevel="0" collapsed="false">
      <c r="A4" s="35" t="s">
        <v>81</v>
      </c>
      <c r="B4" s="35"/>
      <c r="C4" s="35"/>
      <c r="D4" s="35"/>
      <c r="E4" s="35"/>
    </row>
    <row r="5" customFormat="false" ht="15" hidden="false" customHeight="false" outlineLevel="0" collapsed="false">
      <c r="A5" s="13" t="s">
        <v>82</v>
      </c>
      <c r="B5" s="11" t="s">
        <v>83</v>
      </c>
      <c r="C5" s="11" t="s">
        <v>84</v>
      </c>
      <c r="D5" s="36" t="n">
        <v>23</v>
      </c>
      <c r="E5" s="37" t="n">
        <f aca="false">D5*Parámetros!$F$8</f>
        <v>126185.538888889</v>
      </c>
    </row>
    <row r="6" customFormat="false" ht="15" hidden="false" customHeight="false" outlineLevel="0" collapsed="false">
      <c r="A6" s="13" t="s">
        <v>82</v>
      </c>
      <c r="B6" s="11" t="s">
        <v>85</v>
      </c>
      <c r="C6" s="11" t="s">
        <v>86</v>
      </c>
      <c r="D6" s="36" t="n">
        <v>14</v>
      </c>
      <c r="E6" s="37" t="n">
        <f aca="false">D6*Parámetros!$F$8</f>
        <v>76808.5888888889</v>
      </c>
    </row>
    <row r="7" customFormat="false" ht="15" hidden="false" customHeight="false" outlineLevel="0" collapsed="false">
      <c r="A7" s="13" t="s">
        <v>82</v>
      </c>
      <c r="B7" s="11" t="s">
        <v>87</v>
      </c>
      <c r="C7" s="11" t="s">
        <v>88</v>
      </c>
      <c r="D7" s="36" t="n">
        <v>23</v>
      </c>
      <c r="E7" s="37" t="n">
        <f aca="false">D7*Parámetros!$F$8</f>
        <v>126185.538888889</v>
      </c>
    </row>
    <row r="8" customFormat="false" ht="15" hidden="false" customHeight="false" outlineLevel="0" collapsed="false">
      <c r="A8" s="13" t="s">
        <v>82</v>
      </c>
      <c r="B8" s="11" t="s">
        <v>89</v>
      </c>
      <c r="C8" s="11" t="s">
        <v>90</v>
      </c>
      <c r="D8" s="36" t="n">
        <v>8</v>
      </c>
      <c r="E8" s="37" t="n">
        <f aca="false">D8*Parámetros!$F$8</f>
        <v>43890.6222222222</v>
      </c>
    </row>
    <row r="9" customFormat="false" ht="15" hidden="false" customHeight="false" outlineLevel="0" collapsed="false">
      <c r="A9" s="38"/>
      <c r="B9" s="38"/>
      <c r="C9" s="39" t="s">
        <v>91</v>
      </c>
      <c r="D9" s="40" t="n">
        <f aca="false">SUM(D5:D8)</f>
        <v>68</v>
      </c>
      <c r="E9" s="41" t="n">
        <f aca="false">SUM(E5:E8)</f>
        <v>373070.288888889</v>
      </c>
    </row>
    <row r="10" customFormat="false" ht="15" hidden="false" customHeight="false" outlineLevel="0" collapsed="false">
      <c r="A10" s="35" t="s">
        <v>92</v>
      </c>
      <c r="B10" s="35"/>
      <c r="C10" s="35"/>
      <c r="D10" s="35"/>
      <c r="E10" s="35"/>
    </row>
    <row r="11" customFormat="false" ht="15" hidden="false" customHeight="false" outlineLevel="0" collapsed="false">
      <c r="A11" s="13" t="s">
        <v>93</v>
      </c>
      <c r="B11" s="11" t="s">
        <v>94</v>
      </c>
      <c r="C11" s="11" t="s">
        <v>95</v>
      </c>
      <c r="D11" s="36" t="n">
        <v>19</v>
      </c>
      <c r="E11" s="37" t="n">
        <f aca="false">D11*Parámetros!$F$8</f>
        <v>104240.227777778</v>
      </c>
    </row>
    <row r="12" customFormat="false" ht="15" hidden="false" customHeight="false" outlineLevel="0" collapsed="false">
      <c r="A12" s="13" t="s">
        <v>93</v>
      </c>
      <c r="B12" s="11" t="s">
        <v>96</v>
      </c>
      <c r="C12" s="11" t="s">
        <v>97</v>
      </c>
      <c r="D12" s="36" t="n">
        <v>14</v>
      </c>
      <c r="E12" s="37" t="n">
        <f aca="false">D12*Parámetros!$F$8</f>
        <v>76808.5888888889</v>
      </c>
    </row>
    <row r="13" customFormat="false" ht="15" hidden="false" customHeight="false" outlineLevel="0" collapsed="false">
      <c r="A13" s="13" t="s">
        <v>93</v>
      </c>
      <c r="B13" s="11" t="s">
        <v>98</v>
      </c>
      <c r="C13" s="11" t="s">
        <v>99</v>
      </c>
      <c r="D13" s="36" t="n">
        <v>9</v>
      </c>
      <c r="E13" s="37" t="n">
        <f aca="false">D13*Parámetros!$F$8</f>
        <v>49376.95</v>
      </c>
    </row>
    <row r="14" customFormat="false" ht="15" hidden="false" customHeight="false" outlineLevel="0" collapsed="false">
      <c r="A14" s="13" t="s">
        <v>93</v>
      </c>
      <c r="B14" s="11" t="s">
        <v>100</v>
      </c>
      <c r="C14" s="11" t="s">
        <v>101</v>
      </c>
      <c r="D14" s="36" t="n">
        <v>7</v>
      </c>
      <c r="E14" s="37" t="n">
        <f aca="false">D14*Parámetros!$F$8</f>
        <v>38404.2944444444</v>
      </c>
    </row>
    <row r="15" customFormat="false" ht="15" hidden="false" customHeight="false" outlineLevel="0" collapsed="false">
      <c r="A15" s="13" t="s">
        <v>93</v>
      </c>
      <c r="B15" s="11" t="s">
        <v>102</v>
      </c>
      <c r="C15" s="11" t="s">
        <v>103</v>
      </c>
      <c r="D15" s="36" t="n">
        <v>14</v>
      </c>
      <c r="E15" s="37" t="n">
        <f aca="false">D15*Parámetros!$F$8</f>
        <v>76808.5888888889</v>
      </c>
    </row>
    <row r="16" customFormat="false" ht="15" hidden="false" customHeight="false" outlineLevel="0" collapsed="false">
      <c r="A16" s="38"/>
      <c r="B16" s="38"/>
      <c r="C16" s="39" t="s">
        <v>104</v>
      </c>
      <c r="D16" s="40" t="n">
        <f aca="false">SUM(D11:D15)</f>
        <v>63</v>
      </c>
      <c r="E16" s="41" t="n">
        <f aca="false">SUM(E11:E15)</f>
        <v>345638.65</v>
      </c>
    </row>
    <row r="17" customFormat="false" ht="15" hidden="false" customHeight="false" outlineLevel="0" collapsed="false">
      <c r="A17" s="35" t="s">
        <v>105</v>
      </c>
      <c r="B17" s="35"/>
      <c r="C17" s="35"/>
      <c r="D17" s="35"/>
      <c r="E17" s="35"/>
    </row>
    <row r="18" customFormat="false" ht="15" hidden="false" customHeight="false" outlineLevel="0" collapsed="false">
      <c r="A18" s="13" t="s">
        <v>106</v>
      </c>
      <c r="B18" s="11" t="s">
        <v>107</v>
      </c>
      <c r="C18" s="11" t="s">
        <v>108</v>
      </c>
      <c r="D18" s="36" t="n">
        <v>12</v>
      </c>
      <c r="E18" s="37" t="n">
        <f aca="false">D18*Parámetros!$F$8</f>
        <v>65835.9333333333</v>
      </c>
    </row>
    <row r="19" customFormat="false" ht="15" hidden="false" customHeight="false" outlineLevel="0" collapsed="false">
      <c r="A19" s="13" t="s">
        <v>106</v>
      </c>
      <c r="B19" s="11" t="s">
        <v>109</v>
      </c>
      <c r="C19" s="11" t="s">
        <v>110</v>
      </c>
      <c r="D19" s="36" t="n">
        <v>15</v>
      </c>
      <c r="E19" s="37" t="n">
        <f aca="false">D19*Parámetros!$F$8</f>
        <v>82294.9166666667</v>
      </c>
    </row>
    <row r="20" customFormat="false" ht="15" hidden="false" customHeight="false" outlineLevel="0" collapsed="false">
      <c r="A20" s="13" t="s">
        <v>106</v>
      </c>
      <c r="B20" s="11" t="s">
        <v>111</v>
      </c>
      <c r="C20" s="11" t="s">
        <v>112</v>
      </c>
      <c r="D20" s="36" t="n">
        <v>15</v>
      </c>
      <c r="E20" s="37" t="n">
        <f aca="false">D20*Parámetros!$F$8</f>
        <v>82294.9166666667</v>
      </c>
    </row>
    <row r="21" customFormat="false" ht="15" hidden="false" customHeight="false" outlineLevel="0" collapsed="false">
      <c r="A21" s="13" t="s">
        <v>106</v>
      </c>
      <c r="B21" s="11" t="s">
        <v>113</v>
      </c>
      <c r="C21" s="11" t="s">
        <v>114</v>
      </c>
      <c r="D21" s="36" t="n">
        <v>15</v>
      </c>
      <c r="E21" s="37" t="n">
        <f aca="false">D21*Parámetros!$F$8</f>
        <v>82294.9166666667</v>
      </c>
    </row>
    <row r="22" customFormat="false" ht="15" hidden="false" customHeight="false" outlineLevel="0" collapsed="false">
      <c r="A22" s="38"/>
      <c r="B22" s="38"/>
      <c r="C22" s="39" t="s">
        <v>115</v>
      </c>
      <c r="D22" s="40" t="n">
        <f aca="false">SUM(D18:D21)</f>
        <v>57</v>
      </c>
      <c r="E22" s="41" t="n">
        <f aca="false">SUM(E18:E21)</f>
        <v>312720.683333333</v>
      </c>
    </row>
    <row r="23" customFormat="false" ht="15" hidden="false" customHeight="false" outlineLevel="0" collapsed="false">
      <c r="A23" s="35" t="s">
        <v>116</v>
      </c>
      <c r="B23" s="35"/>
      <c r="C23" s="35"/>
      <c r="D23" s="35"/>
      <c r="E23" s="35"/>
    </row>
    <row r="24" customFormat="false" ht="15" hidden="false" customHeight="false" outlineLevel="0" collapsed="false">
      <c r="A24" s="13" t="s">
        <v>117</v>
      </c>
      <c r="B24" s="11" t="s">
        <v>118</v>
      </c>
      <c r="C24" s="11" t="s">
        <v>119</v>
      </c>
      <c r="D24" s="36" t="n">
        <v>10</v>
      </c>
      <c r="E24" s="37" t="n">
        <f aca="false">D24*Parámetros!$F$8</f>
        <v>54863.2777777778</v>
      </c>
    </row>
    <row r="25" customFormat="false" ht="15" hidden="false" customHeight="false" outlineLevel="0" collapsed="false">
      <c r="A25" s="13" t="s">
        <v>117</v>
      </c>
      <c r="B25" s="11" t="s">
        <v>120</v>
      </c>
      <c r="C25" s="11" t="s">
        <v>121</v>
      </c>
      <c r="D25" s="36" t="n">
        <v>13</v>
      </c>
      <c r="E25" s="37" t="n">
        <f aca="false">D25*Parámetros!$F$8</f>
        <v>71322.2611111111</v>
      </c>
    </row>
    <row r="26" customFormat="false" ht="15" hidden="false" customHeight="false" outlineLevel="0" collapsed="false">
      <c r="A26" s="13" t="s">
        <v>117</v>
      </c>
      <c r="B26" s="11" t="s">
        <v>122</v>
      </c>
      <c r="C26" s="11" t="s">
        <v>123</v>
      </c>
      <c r="D26" s="36" t="n">
        <v>10</v>
      </c>
      <c r="E26" s="37" t="n">
        <f aca="false">D26*Parámetros!$F$8</f>
        <v>54863.2777777778</v>
      </c>
    </row>
    <row r="27" customFormat="false" ht="15" hidden="false" customHeight="false" outlineLevel="0" collapsed="false">
      <c r="A27" s="13" t="s">
        <v>117</v>
      </c>
      <c r="B27" s="11" t="s">
        <v>124</v>
      </c>
      <c r="C27" s="11" t="s">
        <v>125</v>
      </c>
      <c r="D27" s="36" t="n">
        <v>10</v>
      </c>
      <c r="E27" s="37" t="n">
        <f aca="false">D27*Parámetros!$F$8</f>
        <v>54863.2777777778</v>
      </c>
    </row>
    <row r="28" customFormat="false" ht="15" hidden="false" customHeight="false" outlineLevel="0" collapsed="false">
      <c r="A28" s="13" t="s">
        <v>117</v>
      </c>
      <c r="B28" s="11" t="s">
        <v>126</v>
      </c>
      <c r="C28" s="11" t="s">
        <v>127</v>
      </c>
      <c r="D28" s="36" t="n">
        <v>16</v>
      </c>
      <c r="E28" s="37" t="n">
        <f aca="false">D28*Parámetros!$F$8</f>
        <v>87781.2444444444</v>
      </c>
    </row>
    <row r="29" customFormat="false" ht="15" hidden="false" customHeight="false" outlineLevel="0" collapsed="false">
      <c r="A29" s="13" t="s">
        <v>117</v>
      </c>
      <c r="B29" s="11" t="s">
        <v>128</v>
      </c>
      <c r="C29" s="11" t="s">
        <v>129</v>
      </c>
      <c r="D29" s="36" t="n">
        <v>8</v>
      </c>
      <c r="E29" s="37" t="n">
        <f aca="false">D29*Parámetros!$F$8</f>
        <v>43890.6222222222</v>
      </c>
    </row>
    <row r="30" customFormat="false" ht="15" hidden="false" customHeight="false" outlineLevel="0" collapsed="false">
      <c r="A30" s="13" t="s">
        <v>117</v>
      </c>
      <c r="B30" s="11" t="s">
        <v>130</v>
      </c>
      <c r="C30" s="11" t="s">
        <v>131</v>
      </c>
      <c r="D30" s="36" t="n">
        <v>8</v>
      </c>
      <c r="E30" s="37" t="n">
        <f aca="false">D30*Parámetros!$F$8</f>
        <v>43890.6222222222</v>
      </c>
    </row>
    <row r="31" customFormat="false" ht="15" hidden="false" customHeight="false" outlineLevel="0" collapsed="false">
      <c r="A31" s="13" t="s">
        <v>117</v>
      </c>
      <c r="B31" s="11" t="s">
        <v>132</v>
      </c>
      <c r="C31" s="11" t="s">
        <v>133</v>
      </c>
      <c r="D31" s="36" t="n">
        <v>7</v>
      </c>
      <c r="E31" s="37" t="n">
        <f aca="false">D31*Parámetros!$F$8</f>
        <v>38404.2944444444</v>
      </c>
    </row>
    <row r="32" customFormat="false" ht="15" hidden="false" customHeight="false" outlineLevel="0" collapsed="false">
      <c r="A32" s="38"/>
      <c r="B32" s="38"/>
      <c r="C32" s="39" t="s">
        <v>134</v>
      </c>
      <c r="D32" s="40" t="n">
        <f aca="false">SUM(D24:D31)</f>
        <v>82</v>
      </c>
      <c r="E32" s="41" t="n">
        <f aca="false">SUM(E24:E31)</f>
        <v>449878.877777778</v>
      </c>
    </row>
    <row r="33" customFormat="false" ht="15" hidden="false" customHeight="false" outlineLevel="0" collapsed="false">
      <c r="A33" s="35" t="s">
        <v>135</v>
      </c>
      <c r="B33" s="35"/>
      <c r="C33" s="35"/>
      <c r="D33" s="35"/>
      <c r="E33" s="35"/>
    </row>
    <row r="34" customFormat="false" ht="15" hidden="false" customHeight="false" outlineLevel="0" collapsed="false">
      <c r="A34" s="13" t="s">
        <v>136</v>
      </c>
      <c r="B34" s="11" t="s">
        <v>137</v>
      </c>
      <c r="C34" s="11" t="s">
        <v>138</v>
      </c>
      <c r="D34" s="36" t="n">
        <v>13</v>
      </c>
      <c r="E34" s="37" t="n">
        <f aca="false">D34*Parámetros!$F$8</f>
        <v>71322.2611111111</v>
      </c>
    </row>
    <row r="35" customFormat="false" ht="15" hidden="false" customHeight="false" outlineLevel="0" collapsed="false">
      <c r="A35" s="13" t="s">
        <v>136</v>
      </c>
      <c r="B35" s="11" t="s">
        <v>139</v>
      </c>
      <c r="C35" s="11" t="s">
        <v>140</v>
      </c>
      <c r="D35" s="36" t="n">
        <v>3</v>
      </c>
      <c r="E35" s="37" t="n">
        <f aca="false">D35*Parámetros!$F$8</f>
        <v>16458.9833333333</v>
      </c>
    </row>
    <row r="36" customFormat="false" ht="15" hidden="false" customHeight="false" outlineLevel="0" collapsed="false">
      <c r="A36" s="13" t="s">
        <v>136</v>
      </c>
      <c r="B36" s="11" t="s">
        <v>141</v>
      </c>
      <c r="C36" s="11" t="s">
        <v>142</v>
      </c>
      <c r="D36" s="36" t="n">
        <v>4</v>
      </c>
      <c r="E36" s="37" t="n">
        <f aca="false">D36*Parámetros!$F$8</f>
        <v>21945.3111111111</v>
      </c>
    </row>
    <row r="37" customFormat="false" ht="15" hidden="false" customHeight="false" outlineLevel="0" collapsed="false">
      <c r="A37" s="13" t="s">
        <v>136</v>
      </c>
      <c r="B37" s="11" t="s">
        <v>143</v>
      </c>
      <c r="C37" s="11" t="s">
        <v>144</v>
      </c>
      <c r="D37" s="36" t="n">
        <v>9</v>
      </c>
      <c r="E37" s="37" t="n">
        <f aca="false">D37*Parámetros!$F$8</f>
        <v>49376.95</v>
      </c>
    </row>
    <row r="38" customFormat="false" ht="15" hidden="false" customHeight="false" outlineLevel="0" collapsed="false">
      <c r="A38" s="13" t="s">
        <v>136</v>
      </c>
      <c r="B38" s="11" t="s">
        <v>145</v>
      </c>
      <c r="C38" s="11" t="s">
        <v>146</v>
      </c>
      <c r="D38" s="36" t="n">
        <v>13</v>
      </c>
      <c r="E38" s="37" t="n">
        <f aca="false">D38*Parámetros!$F$8</f>
        <v>71322.2611111111</v>
      </c>
    </row>
    <row r="39" customFormat="false" ht="15" hidden="false" customHeight="false" outlineLevel="0" collapsed="false">
      <c r="A39" s="13" t="s">
        <v>136</v>
      </c>
      <c r="B39" s="11" t="s">
        <v>147</v>
      </c>
      <c r="C39" s="11" t="s">
        <v>148</v>
      </c>
      <c r="D39" s="36" t="n">
        <v>6</v>
      </c>
      <c r="E39" s="37" t="n">
        <f aca="false">D39*Parámetros!$F$8</f>
        <v>32917.9666666667</v>
      </c>
    </row>
    <row r="40" customFormat="false" ht="15" hidden="false" customHeight="false" outlineLevel="0" collapsed="false">
      <c r="A40" s="13" t="s">
        <v>136</v>
      </c>
      <c r="B40" s="11" t="s">
        <v>149</v>
      </c>
      <c r="C40" s="11" t="s">
        <v>150</v>
      </c>
      <c r="D40" s="36" t="n">
        <v>5</v>
      </c>
      <c r="E40" s="37" t="n">
        <f aca="false">D40*Parámetros!$F$8</f>
        <v>27431.6388888889</v>
      </c>
    </row>
    <row r="41" customFormat="false" ht="15" hidden="false" customHeight="false" outlineLevel="0" collapsed="false">
      <c r="A41" s="13" t="s">
        <v>136</v>
      </c>
      <c r="B41" s="11" t="s">
        <v>151</v>
      </c>
      <c r="C41" s="11" t="s">
        <v>152</v>
      </c>
      <c r="D41" s="36" t="n">
        <v>11</v>
      </c>
      <c r="E41" s="37" t="n">
        <f aca="false">D41*Parámetros!$F$8</f>
        <v>60349.6055555556</v>
      </c>
    </row>
    <row r="42" customFormat="false" ht="15" hidden="false" customHeight="false" outlineLevel="0" collapsed="false">
      <c r="A42" s="13" t="s">
        <v>136</v>
      </c>
      <c r="B42" s="11" t="s">
        <v>153</v>
      </c>
      <c r="C42" s="11" t="s">
        <v>154</v>
      </c>
      <c r="D42" s="36" t="n">
        <v>4</v>
      </c>
      <c r="E42" s="37" t="n">
        <f aca="false">D42*Parámetros!$F$8</f>
        <v>21945.3111111111</v>
      </c>
    </row>
    <row r="43" customFormat="false" ht="15" hidden="false" customHeight="false" outlineLevel="0" collapsed="false">
      <c r="A43" s="13" t="s">
        <v>136</v>
      </c>
      <c r="B43" s="11" t="s">
        <v>155</v>
      </c>
      <c r="C43" s="11" t="s">
        <v>156</v>
      </c>
      <c r="D43" s="36" t="n">
        <v>11</v>
      </c>
      <c r="E43" s="37" t="n">
        <f aca="false">D43*Parámetros!$F$8</f>
        <v>60349.6055555556</v>
      </c>
    </row>
    <row r="44" customFormat="false" ht="15" hidden="false" customHeight="false" outlineLevel="0" collapsed="false">
      <c r="A44" s="13" t="s">
        <v>136</v>
      </c>
      <c r="B44" s="11" t="s">
        <v>157</v>
      </c>
      <c r="C44" s="11" t="s">
        <v>158</v>
      </c>
      <c r="D44" s="36" t="n">
        <v>9</v>
      </c>
      <c r="E44" s="37" t="n">
        <f aca="false">D44*Parámetros!$F$8</f>
        <v>49376.95</v>
      </c>
    </row>
    <row r="45" customFormat="false" ht="15" hidden="false" customHeight="false" outlineLevel="0" collapsed="false">
      <c r="A45" s="13" t="s">
        <v>136</v>
      </c>
      <c r="B45" s="11" t="s">
        <v>159</v>
      </c>
      <c r="C45" s="11" t="s">
        <v>160</v>
      </c>
      <c r="D45" s="36" t="n">
        <v>4</v>
      </c>
      <c r="E45" s="37" t="n">
        <f aca="false">D45*Parámetros!$F$8</f>
        <v>21945.3111111111</v>
      </c>
    </row>
    <row r="46" customFormat="false" ht="15" hidden="false" customHeight="false" outlineLevel="0" collapsed="false">
      <c r="A46" s="13" t="s">
        <v>136</v>
      </c>
      <c r="B46" s="11" t="s">
        <v>161</v>
      </c>
      <c r="C46" s="11" t="s">
        <v>162</v>
      </c>
      <c r="D46" s="36" t="n">
        <v>6</v>
      </c>
      <c r="E46" s="37" t="n">
        <f aca="false">D46*Parámetros!$F$8</f>
        <v>32917.9666666667</v>
      </c>
    </row>
    <row r="47" customFormat="false" ht="15" hidden="false" customHeight="false" outlineLevel="0" collapsed="false">
      <c r="A47" s="13" t="s">
        <v>136</v>
      </c>
      <c r="B47" s="11" t="s">
        <v>163</v>
      </c>
      <c r="C47" s="11" t="s">
        <v>164</v>
      </c>
      <c r="D47" s="36" t="n">
        <v>6</v>
      </c>
      <c r="E47" s="37" t="n">
        <f aca="false">D47*Parámetros!$F$8</f>
        <v>32917.9666666667</v>
      </c>
    </row>
    <row r="48" customFormat="false" ht="15" hidden="false" customHeight="false" outlineLevel="0" collapsed="false">
      <c r="A48" s="13" t="s">
        <v>136</v>
      </c>
      <c r="B48" s="11" t="s">
        <v>165</v>
      </c>
      <c r="C48" s="11" t="s">
        <v>166</v>
      </c>
      <c r="D48" s="36" t="n">
        <v>9</v>
      </c>
      <c r="E48" s="37" t="n">
        <f aca="false">D48*Parámetros!$F$8</f>
        <v>49376.95</v>
      </c>
    </row>
    <row r="49" customFormat="false" ht="15" hidden="false" customHeight="false" outlineLevel="0" collapsed="false">
      <c r="A49" s="13" t="s">
        <v>136</v>
      </c>
      <c r="B49" s="11" t="s">
        <v>167</v>
      </c>
      <c r="C49" s="11" t="s">
        <v>168</v>
      </c>
      <c r="D49" s="36" t="n">
        <v>9</v>
      </c>
      <c r="E49" s="37" t="n">
        <f aca="false">D49*Parámetros!$F$8</f>
        <v>49376.95</v>
      </c>
    </row>
    <row r="50" customFormat="false" ht="15" hidden="false" customHeight="false" outlineLevel="0" collapsed="false">
      <c r="A50" s="13" t="s">
        <v>136</v>
      </c>
      <c r="B50" s="11" t="s">
        <v>169</v>
      </c>
      <c r="C50" s="11" t="s">
        <v>170</v>
      </c>
      <c r="D50" s="36" t="n">
        <v>5</v>
      </c>
      <c r="E50" s="37" t="n">
        <f aca="false">D50*Parámetros!$F$8</f>
        <v>27431.6388888889</v>
      </c>
    </row>
    <row r="51" customFormat="false" ht="15" hidden="false" customHeight="false" outlineLevel="0" collapsed="false">
      <c r="A51" s="13" t="s">
        <v>136</v>
      </c>
      <c r="B51" s="11" t="s">
        <v>171</v>
      </c>
      <c r="C51" s="11" t="s">
        <v>172</v>
      </c>
      <c r="D51" s="36" t="n">
        <v>8</v>
      </c>
      <c r="E51" s="37" t="n">
        <f aca="false">D51*Parámetros!$F$8</f>
        <v>43890.6222222222</v>
      </c>
    </row>
    <row r="52" customFormat="false" ht="15" hidden="false" customHeight="false" outlineLevel="0" collapsed="false">
      <c r="A52" s="13" t="s">
        <v>136</v>
      </c>
      <c r="B52" s="11" t="s">
        <v>173</v>
      </c>
      <c r="C52" s="11" t="s">
        <v>174</v>
      </c>
      <c r="D52" s="36" t="n">
        <v>15</v>
      </c>
      <c r="E52" s="37" t="n">
        <f aca="false">D52*Parámetros!$F$8</f>
        <v>82294.9166666667</v>
      </c>
    </row>
    <row r="53" customFormat="false" ht="15" hidden="false" customHeight="false" outlineLevel="0" collapsed="false">
      <c r="A53" s="13" t="s">
        <v>136</v>
      </c>
      <c r="B53" s="11" t="s">
        <v>175</v>
      </c>
      <c r="C53" s="11" t="s">
        <v>176</v>
      </c>
      <c r="D53" s="36" t="n">
        <v>13</v>
      </c>
      <c r="E53" s="37" t="n">
        <f aca="false">D53*Parámetros!$F$8</f>
        <v>71322.2611111111</v>
      </c>
    </row>
    <row r="54" customFormat="false" ht="15" hidden="false" customHeight="false" outlineLevel="0" collapsed="false">
      <c r="A54" s="13" t="s">
        <v>136</v>
      </c>
      <c r="B54" s="11" t="s">
        <v>177</v>
      </c>
      <c r="C54" s="11" t="s">
        <v>178</v>
      </c>
      <c r="D54" s="36" t="n">
        <v>8</v>
      </c>
      <c r="E54" s="37" t="n">
        <f aca="false">D54*Parámetros!$F$8</f>
        <v>43890.6222222222</v>
      </c>
    </row>
    <row r="55" customFormat="false" ht="15" hidden="false" customHeight="false" outlineLevel="0" collapsed="false">
      <c r="A55" s="13" t="s">
        <v>136</v>
      </c>
      <c r="B55" s="11" t="s">
        <v>179</v>
      </c>
      <c r="C55" s="11" t="s">
        <v>180</v>
      </c>
      <c r="D55" s="36" t="n">
        <v>11</v>
      </c>
      <c r="E55" s="37" t="n">
        <f aca="false">D55*Parámetros!$F$8</f>
        <v>60349.6055555556</v>
      </c>
    </row>
    <row r="56" customFormat="false" ht="15" hidden="false" customHeight="false" outlineLevel="0" collapsed="false">
      <c r="A56" s="13" t="s">
        <v>136</v>
      </c>
      <c r="B56" s="11" t="s">
        <v>181</v>
      </c>
      <c r="C56" s="11" t="s">
        <v>182</v>
      </c>
      <c r="D56" s="36" t="n">
        <v>5</v>
      </c>
      <c r="E56" s="37" t="n">
        <f aca="false">D56*Parámetros!$F$8</f>
        <v>27431.6388888889</v>
      </c>
    </row>
    <row r="57" customFormat="false" ht="15" hidden="false" customHeight="false" outlineLevel="0" collapsed="false">
      <c r="A57" s="13" t="s">
        <v>136</v>
      </c>
      <c r="B57" s="11" t="s">
        <v>183</v>
      </c>
      <c r="C57" s="11" t="s">
        <v>184</v>
      </c>
      <c r="D57" s="36" t="n">
        <v>13</v>
      </c>
      <c r="E57" s="37" t="n">
        <f aca="false">D57*Parámetros!$F$8</f>
        <v>71322.2611111111</v>
      </c>
    </row>
    <row r="58" customFormat="false" ht="15" hidden="false" customHeight="false" outlineLevel="0" collapsed="false">
      <c r="A58" s="38"/>
      <c r="B58" s="38"/>
      <c r="C58" s="39" t="s">
        <v>185</v>
      </c>
      <c r="D58" s="40" t="n">
        <f aca="false">SUM(D34:D57)</f>
        <v>200</v>
      </c>
      <c r="E58" s="41" t="n">
        <f aca="false">SUM(E34:E57)</f>
        <v>1097265.55555556</v>
      </c>
    </row>
    <row r="59" customFormat="false" ht="15" hidden="false" customHeight="false" outlineLevel="0" collapsed="false">
      <c r="A59" s="35" t="s">
        <v>186</v>
      </c>
      <c r="B59" s="35"/>
      <c r="C59" s="35"/>
      <c r="D59" s="35"/>
      <c r="E59" s="35"/>
    </row>
    <row r="60" customFormat="false" ht="15" hidden="false" customHeight="false" outlineLevel="0" collapsed="false">
      <c r="A60" s="13" t="s">
        <v>187</v>
      </c>
      <c r="B60" s="11" t="s">
        <v>188</v>
      </c>
      <c r="C60" s="11" t="s">
        <v>189</v>
      </c>
      <c r="D60" s="36" t="n">
        <v>17</v>
      </c>
      <c r="E60" s="37" t="n">
        <f aca="false">D60*Parámetros!$F$8</f>
        <v>93267.5722222222</v>
      </c>
    </row>
    <row r="61" customFormat="false" ht="15" hidden="false" customHeight="false" outlineLevel="0" collapsed="false">
      <c r="A61" s="13" t="s">
        <v>187</v>
      </c>
      <c r="B61" s="11" t="s">
        <v>190</v>
      </c>
      <c r="C61" s="11" t="s">
        <v>191</v>
      </c>
      <c r="D61" s="36" t="n">
        <v>23</v>
      </c>
      <c r="E61" s="37" t="n">
        <f aca="false">D61*Parámetros!$F$8</f>
        <v>126185.538888889</v>
      </c>
    </row>
    <row r="62" customFormat="false" ht="15" hidden="false" customHeight="false" outlineLevel="0" collapsed="false">
      <c r="A62" s="13" t="s">
        <v>187</v>
      </c>
      <c r="B62" s="11" t="s">
        <v>192</v>
      </c>
      <c r="C62" s="11" t="s">
        <v>193</v>
      </c>
      <c r="D62" s="36" t="n">
        <v>14</v>
      </c>
      <c r="E62" s="37" t="n">
        <f aca="false">D62*Parámetros!$F$8</f>
        <v>76808.5888888889</v>
      </c>
    </row>
    <row r="63" customFormat="false" ht="15" hidden="false" customHeight="false" outlineLevel="0" collapsed="false">
      <c r="A63" s="13" t="s">
        <v>187</v>
      </c>
      <c r="B63" s="11" t="s">
        <v>194</v>
      </c>
      <c r="C63" s="11" t="s">
        <v>195</v>
      </c>
      <c r="D63" s="36" t="n">
        <v>9</v>
      </c>
      <c r="E63" s="37" t="n">
        <f aca="false">D63*Parámetros!$F$8</f>
        <v>49376.95</v>
      </c>
    </row>
    <row r="64" customFormat="false" ht="15" hidden="false" customHeight="false" outlineLevel="0" collapsed="false">
      <c r="A64" s="13" t="s">
        <v>187</v>
      </c>
      <c r="B64" s="11" t="s">
        <v>196</v>
      </c>
      <c r="C64" s="11" t="s">
        <v>197</v>
      </c>
      <c r="D64" s="36" t="n">
        <v>14</v>
      </c>
      <c r="E64" s="37" t="n">
        <f aca="false">D64*Parámetros!$F$8</f>
        <v>76808.5888888889</v>
      </c>
    </row>
    <row r="65" customFormat="false" ht="15" hidden="false" customHeight="false" outlineLevel="0" collapsed="false">
      <c r="A65" s="13" t="s">
        <v>187</v>
      </c>
      <c r="B65" s="11" t="s">
        <v>198</v>
      </c>
      <c r="C65" s="11" t="s">
        <v>199</v>
      </c>
      <c r="D65" s="36" t="n">
        <v>34</v>
      </c>
      <c r="E65" s="37" t="n">
        <f aca="false">D65*Parámetros!$F$8</f>
        <v>186535.144444444</v>
      </c>
    </row>
    <row r="66" customFormat="false" ht="15" hidden="false" customHeight="false" outlineLevel="0" collapsed="false">
      <c r="A66" s="13" t="s">
        <v>187</v>
      </c>
      <c r="B66" s="11" t="s">
        <v>200</v>
      </c>
      <c r="C66" s="11" t="s">
        <v>201</v>
      </c>
      <c r="D66" s="36" t="n">
        <v>11</v>
      </c>
      <c r="E66" s="37" t="n">
        <f aca="false">D66*Parámetros!$F$8</f>
        <v>60349.6055555556</v>
      </c>
    </row>
    <row r="67" customFormat="false" ht="15" hidden="false" customHeight="false" outlineLevel="0" collapsed="false">
      <c r="A67" s="38"/>
      <c r="B67" s="38"/>
      <c r="C67" s="39" t="s">
        <v>202</v>
      </c>
      <c r="D67" s="40" t="n">
        <f aca="false">SUM(D60:D66)</f>
        <v>122</v>
      </c>
      <c r="E67" s="41" t="n">
        <f aca="false">SUM(E60:E66)</f>
        <v>669331.988888889</v>
      </c>
    </row>
    <row r="68" customFormat="false" ht="15" hidden="false" customHeight="false" outlineLevel="0" collapsed="false">
      <c r="A68" s="35" t="s">
        <v>203</v>
      </c>
      <c r="B68" s="35"/>
      <c r="C68" s="35"/>
      <c r="D68" s="35"/>
      <c r="E68" s="35"/>
    </row>
    <row r="69" customFormat="false" ht="15" hidden="false" customHeight="false" outlineLevel="0" collapsed="false">
      <c r="A69" s="13" t="s">
        <v>204</v>
      </c>
      <c r="B69" s="11" t="s">
        <v>205</v>
      </c>
      <c r="C69" s="11" t="s">
        <v>206</v>
      </c>
      <c r="D69" s="36" t="n">
        <v>9</v>
      </c>
      <c r="E69" s="37" t="n">
        <f aca="false">D69*Parámetros!$F$8</f>
        <v>49376.95</v>
      </c>
    </row>
    <row r="70" customFormat="false" ht="15" hidden="false" customHeight="false" outlineLevel="0" collapsed="false">
      <c r="A70" s="13" t="s">
        <v>204</v>
      </c>
      <c r="B70" s="11" t="s">
        <v>207</v>
      </c>
      <c r="C70" s="11" t="s">
        <v>208</v>
      </c>
      <c r="D70" s="36" t="n">
        <v>9</v>
      </c>
      <c r="E70" s="37" t="n">
        <f aca="false">D70*Parámetros!$F$8</f>
        <v>49376.95</v>
      </c>
    </row>
    <row r="71" customFormat="false" ht="15" hidden="false" customHeight="false" outlineLevel="0" collapsed="false">
      <c r="A71" s="13" t="s">
        <v>204</v>
      </c>
      <c r="B71" s="11" t="s">
        <v>209</v>
      </c>
      <c r="C71" s="11" t="s">
        <v>210</v>
      </c>
      <c r="D71" s="36" t="n">
        <v>7</v>
      </c>
      <c r="E71" s="37" t="n">
        <f aca="false">D71*Parámetros!$F$8</f>
        <v>38404.2944444444</v>
      </c>
    </row>
    <row r="72" customFormat="false" ht="15" hidden="false" customHeight="false" outlineLevel="0" collapsed="false">
      <c r="A72" s="13" t="s">
        <v>204</v>
      </c>
      <c r="B72" s="11" t="s">
        <v>211</v>
      </c>
      <c r="C72" s="11" t="s">
        <v>212</v>
      </c>
      <c r="D72" s="36" t="n">
        <v>7</v>
      </c>
      <c r="E72" s="37" t="n">
        <f aca="false">D72*Parámetros!$F$8</f>
        <v>38404.2944444444</v>
      </c>
    </row>
    <row r="73" customFormat="false" ht="15" hidden="false" customHeight="false" outlineLevel="0" collapsed="false">
      <c r="A73" s="13" t="s">
        <v>204</v>
      </c>
      <c r="B73" s="11" t="s">
        <v>213</v>
      </c>
      <c r="C73" s="11" t="s">
        <v>214</v>
      </c>
      <c r="D73" s="36" t="n">
        <v>7</v>
      </c>
      <c r="E73" s="37" t="n">
        <f aca="false">D73*Parámetros!$F$8</f>
        <v>38404.2944444444</v>
      </c>
    </row>
    <row r="74" customFormat="false" ht="15" hidden="false" customHeight="false" outlineLevel="0" collapsed="false">
      <c r="A74" s="13" t="s">
        <v>204</v>
      </c>
      <c r="B74" s="11" t="s">
        <v>215</v>
      </c>
      <c r="C74" s="11" t="s">
        <v>216</v>
      </c>
      <c r="D74" s="36" t="n">
        <v>7</v>
      </c>
      <c r="E74" s="37" t="n">
        <f aca="false">D74*Parámetros!$F$8</f>
        <v>38404.2944444444</v>
      </c>
    </row>
    <row r="75" customFormat="false" ht="15" hidden="false" customHeight="false" outlineLevel="0" collapsed="false">
      <c r="A75" s="13" t="s">
        <v>204</v>
      </c>
      <c r="B75" s="11" t="s">
        <v>217</v>
      </c>
      <c r="C75" s="11" t="s">
        <v>218</v>
      </c>
      <c r="D75" s="36" t="n">
        <v>7</v>
      </c>
      <c r="E75" s="37" t="n">
        <f aca="false">D75*Parámetros!$F$8</f>
        <v>38404.2944444444</v>
      </c>
    </row>
    <row r="76" customFormat="false" ht="15" hidden="false" customHeight="false" outlineLevel="0" collapsed="false">
      <c r="A76" s="13" t="s">
        <v>204</v>
      </c>
      <c r="B76" s="11" t="s">
        <v>219</v>
      </c>
      <c r="C76" s="11" t="s">
        <v>220</v>
      </c>
      <c r="D76" s="36" t="n">
        <v>9</v>
      </c>
      <c r="E76" s="37" t="n">
        <f aca="false">D76*Parámetros!$F$8</f>
        <v>49376.95</v>
      </c>
    </row>
    <row r="77" customFormat="false" ht="15" hidden="false" customHeight="false" outlineLevel="0" collapsed="false">
      <c r="A77" s="13" t="s">
        <v>204</v>
      </c>
      <c r="B77" s="11" t="s">
        <v>221</v>
      </c>
      <c r="C77" s="11" t="s">
        <v>222</v>
      </c>
      <c r="D77" s="36" t="n">
        <v>6</v>
      </c>
      <c r="E77" s="37" t="n">
        <f aca="false">D77*Parámetros!$F$8</f>
        <v>32917.9666666667</v>
      </c>
    </row>
    <row r="78" customFormat="false" ht="15" hidden="false" customHeight="false" outlineLevel="0" collapsed="false">
      <c r="A78" s="13" t="s">
        <v>204</v>
      </c>
      <c r="B78" s="11" t="s">
        <v>223</v>
      </c>
      <c r="C78" s="11" t="s">
        <v>224</v>
      </c>
      <c r="D78" s="36" t="n">
        <v>5</v>
      </c>
      <c r="E78" s="37" t="n">
        <f aca="false">D78*Parámetros!$F$8</f>
        <v>27431.6388888889</v>
      </c>
    </row>
    <row r="79" customFormat="false" ht="15" hidden="false" customHeight="false" outlineLevel="0" collapsed="false">
      <c r="A79" s="13" t="s">
        <v>204</v>
      </c>
      <c r="B79" s="11" t="s">
        <v>225</v>
      </c>
      <c r="C79" s="11" t="s">
        <v>226</v>
      </c>
      <c r="D79" s="36" t="n">
        <v>4</v>
      </c>
      <c r="E79" s="37" t="n">
        <f aca="false">D79*Parámetros!$F$8</f>
        <v>21945.3111111111</v>
      </c>
    </row>
    <row r="80" customFormat="false" ht="15" hidden="false" customHeight="false" outlineLevel="0" collapsed="false">
      <c r="A80" s="13" t="s">
        <v>204</v>
      </c>
      <c r="B80" s="11" t="s">
        <v>227</v>
      </c>
      <c r="C80" s="11" t="s">
        <v>228</v>
      </c>
      <c r="D80" s="36" t="n">
        <v>4</v>
      </c>
      <c r="E80" s="37" t="n">
        <f aca="false">D80*Parámetros!$F$8</f>
        <v>21945.3111111111</v>
      </c>
    </row>
    <row r="81" customFormat="false" ht="15" hidden="false" customHeight="false" outlineLevel="0" collapsed="false">
      <c r="A81" s="13" t="s">
        <v>204</v>
      </c>
      <c r="B81" s="11" t="s">
        <v>229</v>
      </c>
      <c r="C81" s="11" t="s">
        <v>230</v>
      </c>
      <c r="D81" s="36" t="n">
        <v>4</v>
      </c>
      <c r="E81" s="37" t="n">
        <f aca="false">D81*Parámetros!$F$8</f>
        <v>21945.3111111111</v>
      </c>
    </row>
    <row r="82" customFormat="false" ht="15" hidden="false" customHeight="false" outlineLevel="0" collapsed="false">
      <c r="A82" s="13" t="s">
        <v>204</v>
      </c>
      <c r="B82" s="11" t="s">
        <v>231</v>
      </c>
      <c r="C82" s="11" t="s">
        <v>232</v>
      </c>
      <c r="D82" s="36" t="n">
        <v>4</v>
      </c>
      <c r="E82" s="37" t="n">
        <f aca="false">D82*Parámetros!$F$8</f>
        <v>21945.3111111111</v>
      </c>
    </row>
    <row r="83" customFormat="false" ht="15" hidden="false" customHeight="false" outlineLevel="0" collapsed="false">
      <c r="A83" s="13" t="s">
        <v>204</v>
      </c>
      <c r="B83" s="11" t="s">
        <v>233</v>
      </c>
      <c r="C83" s="11" t="s">
        <v>234</v>
      </c>
      <c r="D83" s="36" t="n">
        <v>9</v>
      </c>
      <c r="E83" s="37" t="n">
        <f aca="false">D83*Parámetros!$F$8</f>
        <v>49376.95</v>
      </c>
    </row>
    <row r="84" customFormat="false" ht="15" hidden="false" customHeight="false" outlineLevel="0" collapsed="false">
      <c r="A84" s="13" t="s">
        <v>204</v>
      </c>
      <c r="B84" s="11" t="s">
        <v>235</v>
      </c>
      <c r="C84" s="11" t="s">
        <v>236</v>
      </c>
      <c r="D84" s="36" t="n">
        <v>7</v>
      </c>
      <c r="E84" s="37" t="n">
        <f aca="false">D84*Parámetros!$F$8</f>
        <v>38404.2944444444</v>
      </c>
    </row>
    <row r="85" customFormat="false" ht="15" hidden="false" customHeight="false" outlineLevel="0" collapsed="false">
      <c r="A85" s="13" t="s">
        <v>204</v>
      </c>
      <c r="B85" s="11" t="s">
        <v>237</v>
      </c>
      <c r="C85" s="11" t="s">
        <v>238</v>
      </c>
      <c r="D85" s="36" t="n">
        <v>13</v>
      </c>
      <c r="E85" s="37" t="n">
        <f aca="false">D85*Parámetros!$F$8</f>
        <v>71322.2611111111</v>
      </c>
    </row>
    <row r="86" customFormat="false" ht="15" hidden="false" customHeight="false" outlineLevel="0" collapsed="false">
      <c r="A86" s="38"/>
      <c r="B86" s="38"/>
      <c r="C86" s="39" t="s">
        <v>239</v>
      </c>
      <c r="D86" s="40" t="n">
        <f aca="false">SUM(D69:D85)</f>
        <v>118</v>
      </c>
      <c r="E86" s="41" t="n">
        <f aca="false">SUM(E69:E85)</f>
        <v>647386.677777778</v>
      </c>
    </row>
    <row r="87" customFormat="false" ht="15" hidden="false" customHeight="false" outlineLevel="0" collapsed="false">
      <c r="A87" s="35" t="s">
        <v>240</v>
      </c>
      <c r="B87" s="35"/>
      <c r="C87" s="35"/>
      <c r="D87" s="35"/>
      <c r="E87" s="35"/>
    </row>
    <row r="88" customFormat="false" ht="15" hidden="false" customHeight="false" outlineLevel="0" collapsed="false">
      <c r="A88" s="13" t="s">
        <v>241</v>
      </c>
      <c r="B88" s="11" t="s">
        <v>242</v>
      </c>
      <c r="C88" s="11" t="s">
        <v>243</v>
      </c>
      <c r="D88" s="36" t="n">
        <v>7</v>
      </c>
      <c r="E88" s="37" t="n">
        <f aca="false">D88*Parámetros!$F$8</f>
        <v>38404.2944444444</v>
      </c>
    </row>
    <row r="89" customFormat="false" ht="15" hidden="false" customHeight="false" outlineLevel="0" collapsed="false">
      <c r="A89" s="13" t="s">
        <v>241</v>
      </c>
      <c r="B89" s="11" t="s">
        <v>244</v>
      </c>
      <c r="C89" s="11" t="s">
        <v>245</v>
      </c>
      <c r="D89" s="36" t="n">
        <v>9</v>
      </c>
      <c r="E89" s="37" t="n">
        <f aca="false">D89*Parámetros!$F$8</f>
        <v>49376.95</v>
      </c>
    </row>
    <row r="90" customFormat="false" ht="15" hidden="false" customHeight="false" outlineLevel="0" collapsed="false">
      <c r="A90" s="13" t="s">
        <v>241</v>
      </c>
      <c r="B90" s="11" t="s">
        <v>246</v>
      </c>
      <c r="C90" s="11" t="s">
        <v>247</v>
      </c>
      <c r="D90" s="36" t="n">
        <v>5</v>
      </c>
      <c r="E90" s="37" t="n">
        <f aca="false">D90*Parámetros!$F$8</f>
        <v>27431.6388888889</v>
      </c>
    </row>
    <row r="91" customFormat="false" ht="15" hidden="false" customHeight="false" outlineLevel="0" collapsed="false">
      <c r="A91" s="13" t="s">
        <v>241</v>
      </c>
      <c r="B91" s="11" t="s">
        <v>248</v>
      </c>
      <c r="C91" s="11" t="s">
        <v>249</v>
      </c>
      <c r="D91" s="36" t="n">
        <v>4</v>
      </c>
      <c r="E91" s="37" t="n">
        <f aca="false">D91*Parámetros!$F$8</f>
        <v>21945.3111111111</v>
      </c>
    </row>
    <row r="92" customFormat="false" ht="15" hidden="false" customHeight="false" outlineLevel="0" collapsed="false">
      <c r="A92" s="13" t="s">
        <v>241</v>
      </c>
      <c r="B92" s="11" t="s">
        <v>250</v>
      </c>
      <c r="C92" s="11" t="s">
        <v>251</v>
      </c>
      <c r="D92" s="36" t="n">
        <v>5</v>
      </c>
      <c r="E92" s="37" t="n">
        <f aca="false">D92*Parámetros!$F$8</f>
        <v>27431.6388888889</v>
      </c>
    </row>
    <row r="93" customFormat="false" ht="15" hidden="false" customHeight="false" outlineLevel="0" collapsed="false">
      <c r="A93" s="13" t="s">
        <v>241</v>
      </c>
      <c r="B93" s="11" t="s">
        <v>252</v>
      </c>
      <c r="C93" s="11" t="s">
        <v>253</v>
      </c>
      <c r="D93" s="36" t="n">
        <v>9</v>
      </c>
      <c r="E93" s="37" t="n">
        <f aca="false">D93*Parámetros!$F$8</f>
        <v>49376.95</v>
      </c>
    </row>
    <row r="94" customFormat="false" ht="15" hidden="false" customHeight="false" outlineLevel="0" collapsed="false">
      <c r="A94" s="13" t="s">
        <v>241</v>
      </c>
      <c r="B94" s="11" t="s">
        <v>254</v>
      </c>
      <c r="C94" s="11" t="s">
        <v>255</v>
      </c>
      <c r="D94" s="36" t="n">
        <v>7</v>
      </c>
      <c r="E94" s="37" t="n">
        <f aca="false">D94*Parámetros!$F$8</f>
        <v>38404.2944444444</v>
      </c>
    </row>
    <row r="95" customFormat="false" ht="15" hidden="false" customHeight="false" outlineLevel="0" collapsed="false">
      <c r="A95" s="13" t="s">
        <v>241</v>
      </c>
      <c r="B95" s="11" t="s">
        <v>256</v>
      </c>
      <c r="C95" s="11" t="s">
        <v>257</v>
      </c>
      <c r="D95" s="36" t="n">
        <v>4</v>
      </c>
      <c r="E95" s="37" t="n">
        <f aca="false">D95*Parámetros!$F$8</f>
        <v>21945.3111111111</v>
      </c>
    </row>
    <row r="96" customFormat="false" ht="15" hidden="false" customHeight="false" outlineLevel="0" collapsed="false">
      <c r="A96" s="13" t="s">
        <v>241</v>
      </c>
      <c r="B96" s="11" t="s">
        <v>258</v>
      </c>
      <c r="C96" s="11" t="s">
        <v>259</v>
      </c>
      <c r="D96" s="36" t="n">
        <v>3</v>
      </c>
      <c r="E96" s="37" t="n">
        <f aca="false">D96*Parámetros!$F$8</f>
        <v>16458.9833333333</v>
      </c>
    </row>
    <row r="97" customFormat="false" ht="15" hidden="false" customHeight="false" outlineLevel="0" collapsed="false">
      <c r="A97" s="13" t="s">
        <v>241</v>
      </c>
      <c r="B97" s="11" t="s">
        <v>260</v>
      </c>
      <c r="C97" s="11" t="s">
        <v>261</v>
      </c>
      <c r="D97" s="36" t="n">
        <v>9</v>
      </c>
      <c r="E97" s="37" t="n">
        <f aca="false">D97*Parámetros!$F$8</f>
        <v>49376.95</v>
      </c>
    </row>
    <row r="98" customFormat="false" ht="15" hidden="false" customHeight="false" outlineLevel="0" collapsed="false">
      <c r="A98" s="13" t="s">
        <v>241</v>
      </c>
      <c r="B98" s="11" t="s">
        <v>262</v>
      </c>
      <c r="C98" s="11" t="s">
        <v>263</v>
      </c>
      <c r="D98" s="36" t="n">
        <v>9</v>
      </c>
      <c r="E98" s="37" t="n">
        <f aca="false">D98*Parámetros!$F$8</f>
        <v>49376.95</v>
      </c>
    </row>
    <row r="99" customFormat="false" ht="15" hidden="false" customHeight="false" outlineLevel="0" collapsed="false">
      <c r="A99" s="13" t="s">
        <v>241</v>
      </c>
      <c r="B99" s="11" t="s">
        <v>264</v>
      </c>
      <c r="C99" s="11" t="s">
        <v>265</v>
      </c>
      <c r="D99" s="36" t="n">
        <v>11</v>
      </c>
      <c r="E99" s="37" t="n">
        <f aca="false">D99*Parámetros!$F$8</f>
        <v>60349.6055555556</v>
      </c>
    </row>
    <row r="100" customFormat="false" ht="15" hidden="false" customHeight="false" outlineLevel="0" collapsed="false">
      <c r="A100" s="13" t="s">
        <v>241</v>
      </c>
      <c r="B100" s="11" t="s">
        <v>266</v>
      </c>
      <c r="C100" s="11" t="s">
        <v>267</v>
      </c>
      <c r="D100" s="36" t="n">
        <v>9</v>
      </c>
      <c r="E100" s="37" t="n">
        <f aca="false">D100*Parámetros!$F$8</f>
        <v>49376.95</v>
      </c>
    </row>
    <row r="101" customFormat="false" ht="15" hidden="false" customHeight="false" outlineLevel="0" collapsed="false">
      <c r="A101" s="13" t="s">
        <v>241</v>
      </c>
      <c r="B101" s="11" t="s">
        <v>268</v>
      </c>
      <c r="C101" s="11" t="s">
        <v>269</v>
      </c>
      <c r="D101" s="36" t="n">
        <v>7</v>
      </c>
      <c r="E101" s="37" t="n">
        <f aca="false">D101*Parámetros!$F$8</f>
        <v>38404.2944444444</v>
      </c>
    </row>
    <row r="102" customFormat="false" ht="15" hidden="false" customHeight="false" outlineLevel="0" collapsed="false">
      <c r="A102" s="13" t="s">
        <v>241</v>
      </c>
      <c r="B102" s="11" t="s">
        <v>270</v>
      </c>
      <c r="C102" s="11" t="s">
        <v>271</v>
      </c>
      <c r="D102" s="36" t="n">
        <v>11</v>
      </c>
      <c r="E102" s="37" t="n">
        <f aca="false">D102*Parámetros!$F$8</f>
        <v>60349.6055555556</v>
      </c>
    </row>
    <row r="103" customFormat="false" ht="15" hidden="false" customHeight="false" outlineLevel="0" collapsed="false">
      <c r="A103" s="13" t="s">
        <v>241</v>
      </c>
      <c r="B103" s="11" t="s">
        <v>272</v>
      </c>
      <c r="C103" s="11" t="s">
        <v>273</v>
      </c>
      <c r="D103" s="36" t="n">
        <v>4</v>
      </c>
      <c r="E103" s="37" t="n">
        <f aca="false">D103*Parámetros!$F$8</f>
        <v>21945.3111111111</v>
      </c>
    </row>
    <row r="104" customFormat="false" ht="15" hidden="false" customHeight="false" outlineLevel="0" collapsed="false">
      <c r="A104" s="13" t="s">
        <v>241</v>
      </c>
      <c r="B104" s="11" t="s">
        <v>274</v>
      </c>
      <c r="C104" s="11" t="s">
        <v>275</v>
      </c>
      <c r="D104" s="36" t="n">
        <v>7</v>
      </c>
      <c r="E104" s="37" t="n">
        <f aca="false">D104*Parámetros!$F$8</f>
        <v>38404.2944444444</v>
      </c>
    </row>
    <row r="105" customFormat="false" ht="15" hidden="false" customHeight="false" outlineLevel="0" collapsed="false">
      <c r="A105" s="13" t="s">
        <v>241</v>
      </c>
      <c r="B105" s="11" t="s">
        <v>276</v>
      </c>
      <c r="C105" s="11" t="s">
        <v>277</v>
      </c>
      <c r="D105" s="36" t="n">
        <v>4</v>
      </c>
      <c r="E105" s="37" t="n">
        <f aca="false">D105*Parámetros!$F$8</f>
        <v>21945.3111111111</v>
      </c>
    </row>
    <row r="106" customFormat="false" ht="15" hidden="false" customHeight="false" outlineLevel="0" collapsed="false">
      <c r="A106" s="13" t="s">
        <v>241</v>
      </c>
      <c r="B106" s="11" t="s">
        <v>278</v>
      </c>
      <c r="C106" s="11" t="s">
        <v>279</v>
      </c>
      <c r="D106" s="36" t="n">
        <v>3</v>
      </c>
      <c r="E106" s="37" t="n">
        <f aca="false">D106*Parámetros!$F$8</f>
        <v>16458.9833333333</v>
      </c>
    </row>
    <row r="107" customFormat="false" ht="15" hidden="false" customHeight="false" outlineLevel="0" collapsed="false">
      <c r="A107" s="13" t="s">
        <v>241</v>
      </c>
      <c r="B107" s="11" t="s">
        <v>280</v>
      </c>
      <c r="C107" s="11" t="s">
        <v>281</v>
      </c>
      <c r="D107" s="36" t="n">
        <v>7</v>
      </c>
      <c r="E107" s="37" t="n">
        <f aca="false">D107*Parámetros!$F$8</f>
        <v>38404.2944444444</v>
      </c>
    </row>
    <row r="108" customFormat="false" ht="15" hidden="false" customHeight="false" outlineLevel="0" collapsed="false">
      <c r="A108" s="38"/>
      <c r="B108" s="38"/>
      <c r="C108" s="39" t="s">
        <v>282</v>
      </c>
      <c r="D108" s="40" t="n">
        <f aca="false">SUM(D88:D107)</f>
        <v>134</v>
      </c>
      <c r="E108" s="41" t="n">
        <f aca="false">SUM(E88:E107)</f>
        <v>735167.922222222</v>
      </c>
    </row>
    <row r="109" customFormat="false" ht="15" hidden="false" customHeight="false" outlineLevel="0" collapsed="false">
      <c r="A109" s="35" t="s">
        <v>283</v>
      </c>
      <c r="B109" s="35"/>
      <c r="C109" s="35"/>
      <c r="D109" s="35"/>
      <c r="E109" s="35"/>
    </row>
    <row r="110" customFormat="false" ht="15" hidden="false" customHeight="false" outlineLevel="0" collapsed="false">
      <c r="A110" s="13" t="s">
        <v>284</v>
      </c>
      <c r="B110" s="11" t="s">
        <v>285</v>
      </c>
      <c r="C110" s="11" t="s">
        <v>286</v>
      </c>
      <c r="D110" s="36" t="n">
        <v>17</v>
      </c>
      <c r="E110" s="37" t="n">
        <f aca="false">D110*Parámetros!$F$8</f>
        <v>93267.5722222222</v>
      </c>
    </row>
    <row r="111" customFormat="false" ht="15" hidden="false" customHeight="false" outlineLevel="0" collapsed="false">
      <c r="A111" s="13" t="s">
        <v>284</v>
      </c>
      <c r="B111" s="11" t="s">
        <v>287</v>
      </c>
      <c r="C111" s="11" t="s">
        <v>288</v>
      </c>
      <c r="D111" s="36" t="n">
        <v>3</v>
      </c>
      <c r="E111" s="37" t="n">
        <f aca="false">D111*Parámetros!$F$8</f>
        <v>16458.9833333333</v>
      </c>
    </row>
    <row r="112" customFormat="false" ht="15" hidden="false" customHeight="false" outlineLevel="0" collapsed="false">
      <c r="A112" s="13" t="s">
        <v>284</v>
      </c>
      <c r="B112" s="11" t="s">
        <v>289</v>
      </c>
      <c r="C112" s="11" t="s">
        <v>290</v>
      </c>
      <c r="D112" s="36" t="n">
        <v>6</v>
      </c>
      <c r="E112" s="37" t="n">
        <f aca="false">D112*Parámetros!$F$8</f>
        <v>32917.9666666667</v>
      </c>
    </row>
    <row r="113" customFormat="false" ht="15" hidden="false" customHeight="false" outlineLevel="0" collapsed="false">
      <c r="A113" s="13" t="s">
        <v>284</v>
      </c>
      <c r="B113" s="11" t="s">
        <v>291</v>
      </c>
      <c r="C113" s="11" t="s">
        <v>292</v>
      </c>
      <c r="D113" s="36" t="n">
        <v>3</v>
      </c>
      <c r="E113" s="37" t="n">
        <f aca="false">D113*Parámetros!$F$8</f>
        <v>16458.9833333333</v>
      </c>
    </row>
    <row r="114" customFormat="false" ht="15" hidden="false" customHeight="false" outlineLevel="0" collapsed="false">
      <c r="A114" s="13" t="s">
        <v>284</v>
      </c>
      <c r="B114" s="11" t="s">
        <v>293</v>
      </c>
      <c r="C114" s="11" t="s">
        <v>294</v>
      </c>
      <c r="D114" s="36" t="n">
        <v>14</v>
      </c>
      <c r="E114" s="37" t="n">
        <f aca="false">D114*Parámetros!$F$8</f>
        <v>76808.5888888889</v>
      </c>
    </row>
    <row r="115" customFormat="false" ht="15" hidden="false" customHeight="false" outlineLevel="0" collapsed="false">
      <c r="A115" s="13" t="s">
        <v>284</v>
      </c>
      <c r="B115" s="11" t="s">
        <v>295</v>
      </c>
      <c r="C115" s="11" t="s">
        <v>296</v>
      </c>
      <c r="D115" s="36" t="n">
        <v>9</v>
      </c>
      <c r="E115" s="37" t="n">
        <f aca="false">D115*Parámetros!$F$8</f>
        <v>49376.95</v>
      </c>
    </row>
    <row r="116" customFormat="false" ht="15" hidden="false" customHeight="false" outlineLevel="0" collapsed="false">
      <c r="A116" s="13" t="s">
        <v>284</v>
      </c>
      <c r="B116" s="11" t="s">
        <v>297</v>
      </c>
      <c r="C116" s="11" t="s">
        <v>298</v>
      </c>
      <c r="D116" s="36" t="n">
        <v>8</v>
      </c>
      <c r="E116" s="37" t="n">
        <f aca="false">D116*Parámetros!$F$8</f>
        <v>43890.6222222222</v>
      </c>
    </row>
    <row r="117" customFormat="false" ht="15" hidden="false" customHeight="false" outlineLevel="0" collapsed="false">
      <c r="A117" s="13" t="s">
        <v>284</v>
      </c>
      <c r="B117" s="11" t="s">
        <v>299</v>
      </c>
      <c r="C117" s="11" t="s">
        <v>300</v>
      </c>
      <c r="D117" s="36" t="n">
        <v>6</v>
      </c>
      <c r="E117" s="37" t="n">
        <f aca="false">D117*Parámetros!$F$8</f>
        <v>32917.9666666667</v>
      </c>
    </row>
    <row r="118" customFormat="false" ht="15" hidden="false" customHeight="false" outlineLevel="0" collapsed="false">
      <c r="A118" s="13" t="s">
        <v>284</v>
      </c>
      <c r="B118" s="11" t="s">
        <v>301</v>
      </c>
      <c r="C118" s="11" t="s">
        <v>302</v>
      </c>
      <c r="D118" s="36" t="n">
        <v>8</v>
      </c>
      <c r="E118" s="37" t="n">
        <f aca="false">D118*Parámetros!$F$8</f>
        <v>43890.6222222222</v>
      </c>
    </row>
    <row r="119" customFormat="false" ht="15" hidden="false" customHeight="false" outlineLevel="0" collapsed="false">
      <c r="A119" s="13" t="s">
        <v>284</v>
      </c>
      <c r="B119" s="11" t="s">
        <v>303</v>
      </c>
      <c r="C119" s="11" t="s">
        <v>304</v>
      </c>
      <c r="D119" s="36" t="n">
        <v>7</v>
      </c>
      <c r="E119" s="37" t="n">
        <f aca="false">D119*Parámetros!$F$8</f>
        <v>38404.2944444444</v>
      </c>
    </row>
    <row r="120" customFormat="false" ht="15" hidden="false" customHeight="false" outlineLevel="0" collapsed="false">
      <c r="A120" s="38"/>
      <c r="B120" s="38"/>
      <c r="C120" s="39" t="s">
        <v>305</v>
      </c>
      <c r="D120" s="40" t="n">
        <f aca="false">SUM(D110:D119)</f>
        <v>81</v>
      </c>
      <c r="E120" s="41" t="n">
        <f aca="false">SUM(E110:E119)</f>
        <v>444392.55</v>
      </c>
    </row>
    <row r="121" customFormat="false" ht="15" hidden="false" customHeight="false" outlineLevel="0" collapsed="false">
      <c r="A121" s="42"/>
      <c r="B121" s="42"/>
      <c r="C121" s="22" t="s">
        <v>306</v>
      </c>
      <c r="D121" s="24" t="n">
        <f aca="false">SUM(D9,D16,D22,D32,D58,D67,D86,D108,D120)</f>
        <v>925</v>
      </c>
      <c r="E121" s="25" t="n">
        <f aca="false">SUM(E9,E16,E22,E32,E58,E67,E86,E108,E120)</f>
        <v>5074853.19444444</v>
      </c>
    </row>
  </sheetData>
  <mergeCells count="11">
    <mergeCell ref="A1:E1"/>
    <mergeCell ref="A2:E2"/>
    <mergeCell ref="A4:E4"/>
    <mergeCell ref="A10:E10"/>
    <mergeCell ref="A17:E17"/>
    <mergeCell ref="A23:E23"/>
    <mergeCell ref="A33:E33"/>
    <mergeCell ref="A59:E59"/>
    <mergeCell ref="A68:E68"/>
    <mergeCell ref="A87:E87"/>
    <mergeCell ref="A109:E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2026-10-12T15:16:23Z</dcterms:created>
  <dc:creator>openpyxl</dc:creator>
  <dc:description/>
  <dc:language>en-US</dc:language>
  <cp:lastModifiedBy/>
  <dcterms:modified xsi:type="dcterms:W3CDTF">2026-10-12T15:16:23Z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