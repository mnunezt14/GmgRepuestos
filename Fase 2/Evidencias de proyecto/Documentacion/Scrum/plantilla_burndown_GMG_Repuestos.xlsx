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omments/comment9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  <sheet xmlns:r="http://schemas.openxmlformats.org/officeDocument/2006/relationships" name="Sprint 5" sheetId="5" state="visible" r:id="rId5"/>
    <sheet xmlns:r="http://schemas.openxmlformats.org/officeDocument/2006/relationships" name="Sprint 6" sheetId="6" state="visible" r:id="rId6"/>
    <sheet xmlns:r="http://schemas.openxmlformats.org/officeDocument/2006/relationships" name="Sprint 7" sheetId="7" state="visible" r:id="rId7"/>
    <sheet xmlns:r="http://schemas.openxmlformats.org/officeDocument/2006/relationships" name="Sprint 8" sheetId="8" state="visible" r:id="rId8"/>
    <sheet xmlns:r="http://schemas.openxmlformats.org/officeDocument/2006/relationships" name="Sprint 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theme="1"/>
      <sz val="11"/>
      <scheme val="minor"/>
    </font>
    <font>
      <name val="Calibri"/>
      <b val="1"/>
      <color theme="1"/>
      <sz val="16"/>
    </font>
    <font>
      <name val="Calibri"/>
      <color theme="1"/>
      <scheme val="minor"/>
    </font>
    <font>
      <name val="Calibri"/>
      <color theme="1"/>
      <sz val="11"/>
    </font>
    <font/>
    <font>
      <name val="Calibri"/>
      <b val="1"/>
      <sz val="16"/>
    </font>
    <font>
      <name val="Calibri"/>
      <b val="1"/>
      <sz val="11"/>
    </font>
    <font>
      <name val="Calibri"/>
      <color rgb="FF595959"/>
      <sz val="9"/>
    </font>
    <font>
      <name val="Calibri"/>
      <sz val="11"/>
    </font>
    <font>
      <name val="Calibri"/>
      <i val="1"/>
      <color rgb="FF595959"/>
      <sz val="9"/>
    </font>
  </fonts>
  <fills count="3">
    <fill>
      <patternFill/>
    </fill>
    <fill>
      <patternFill patternType="lightGray"/>
    </fill>
    <fill>
      <patternFill patternType="solid">
        <fgColor rgb="FFD0CECE"/>
        <bgColor rgb="FFD0CECE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3" fillId="0" borderId="1" pivotButton="0" quotePrefix="0" xfId="0"/>
    <xf numFmtId="0" fontId="4" fillId="0" borderId="6" pivotButton="0" quotePrefix="0" xfId="0"/>
    <xf numFmtId="0" fontId="3" fillId="2" borderId="7" pivotButton="0" quotePrefix="0" xfId="0"/>
    <xf numFmtId="0" fontId="3" fillId="2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2" applyAlignment="1" pivotButton="0" quotePrefix="0" xfId="0">
      <alignment horizontal="center" wrapText="1"/>
    </xf>
    <xf numFmtId="0" fontId="3" fillId="0" borderId="12" pivotButton="0" quotePrefix="0" xfId="0"/>
    <xf numFmtId="0" fontId="3" fillId="0" borderId="0" pivotButton="0" quotePrefix="0" xfId="0"/>
    <xf numFmtId="0" fontId="3" fillId="0" borderId="6" pivotButton="0" quotePrefix="0" xfId="0"/>
    <xf numFmtId="0" fontId="3" fillId="2" borderId="13" pivotButton="0" quotePrefix="0" xfId="0"/>
    <xf numFmtId="0" fontId="3" fillId="2" borderId="14" applyAlignment="1" pivotButton="0" quotePrefix="0" xfId="0">
      <alignment horizontal="center" wrapText="1"/>
    </xf>
    <xf numFmtId="0" fontId="3" fillId="0" borderId="15" pivotButton="0" quotePrefix="0" xfId="0"/>
    <xf numFmtId="0" fontId="3" fillId="0" borderId="16" pivotButton="0" quotePrefix="0" xfId="0"/>
    <xf numFmtId="0" fontId="3" fillId="0" borderId="5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0" fontId="8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left" vertical="center"/>
    </xf>
    <xf numFmtId="0" fontId="8" fillId="0" borderId="11" applyAlignment="1" pivotButton="0" quotePrefix="0" xfId="0">
      <alignment horizontal="center"/>
    </xf>
    <xf numFmtId="0" fontId="8" fillId="0" borderId="0" pivotButton="0" quotePrefix="0" xfId="0"/>
    <xf numFmtId="1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1'!A10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1'!$B$2:$L$2</f>
            </strRef>
          </cat>
          <val>
            <numRef>
              <f>'Sprint 1'!$B$10:$L$10</f>
            </numRef>
          </val>
          <smooth val="0"/>
        </ser>
        <ser>
          <idx val="1"/>
          <order val="1"/>
          <tx>
            <strRef>
              <f>'Sprint 1'!A12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1'!$B$2:$L$2</f>
            </strRef>
          </cat>
          <val>
            <numRef>
              <f>'Sprint 1'!$B$12:$L$12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2'!A11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2'!$B$2:$K$2</f>
            </strRef>
          </cat>
          <val>
            <numRef>
              <f>'Sprint 2'!$B$11:$K$11</f>
            </numRef>
          </val>
          <smooth val="0"/>
        </ser>
        <ser>
          <idx val="1"/>
          <order val="1"/>
          <tx>
            <strRef>
              <f>'Sprint 2'!A13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2'!$B$2:$K$2</f>
            </strRef>
          </cat>
          <val>
            <numRef>
              <f>'Sprint 2'!$B$13:$K$13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3'!A10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3'!$B$2:$K$2</f>
            </strRef>
          </cat>
          <val>
            <numRef>
              <f>'Sprint 3'!$B$10:$K$10</f>
            </numRef>
          </val>
          <smooth val="0"/>
        </ser>
        <ser>
          <idx val="1"/>
          <order val="1"/>
          <tx>
            <strRef>
              <f>'Sprint 3'!A12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3'!$B$2:$K$2</f>
            </strRef>
          </cat>
          <val>
            <numRef>
              <f>'Sprint 3'!$B$12:$K$12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4'!A14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4'!$B$2:$L$2</f>
            </strRef>
          </cat>
          <val>
            <numRef>
              <f>'Sprint 4'!$B$14:$L$14</f>
            </numRef>
          </val>
          <smooth val="0"/>
        </ser>
        <ser>
          <idx val="1"/>
          <order val="1"/>
          <tx>
            <strRef>
              <f>'Sprint 4'!A16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4'!$B$2:$L$2</f>
            </strRef>
          </cat>
          <val>
            <numRef>
              <f>'Sprint 4'!$B$16:$L$16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5'!A30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5'!$B$2:$U$2</f>
            </strRef>
          </cat>
          <val>
            <numRef>
              <f>'Sprint 5'!$B$30:$U$30</f>
            </numRef>
          </val>
          <smooth val="0"/>
        </ser>
        <ser>
          <idx val="1"/>
          <order val="1"/>
          <tx>
            <strRef>
              <f>'Sprint 5'!A32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5'!$B$2:$U$2</f>
            </strRef>
          </cat>
          <val>
            <numRef>
              <f>'Sprint 5'!$B$32:$U$32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6'!A13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6'!$B$2:$V$2</f>
            </strRef>
          </cat>
          <val>
            <numRef>
              <f>'Sprint 6'!$B$13:$V$13</f>
            </numRef>
          </val>
          <smooth val="0"/>
        </ser>
        <ser>
          <idx val="1"/>
          <order val="1"/>
          <tx>
            <strRef>
              <f>'Sprint 6'!A15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6'!$B$2:$V$2</f>
            </strRef>
          </cat>
          <val>
            <numRef>
              <f>'Sprint 6'!$B$15:$V$15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7'!A23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7'!$B$2:$V$2</f>
            </strRef>
          </cat>
          <val>
            <numRef>
              <f>'Sprint 7'!$B$23:$V$23</f>
            </numRef>
          </val>
          <smooth val="0"/>
        </ser>
        <ser>
          <idx val="1"/>
          <order val="1"/>
          <tx>
            <strRef>
              <f>'Sprint 7'!A25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7'!$B$2:$V$2</f>
            </strRef>
          </cat>
          <val>
            <numRef>
              <f>'Sprint 7'!$B$25:$V$25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8'!A26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8'!$B$2:$P$2</f>
            </strRef>
          </cat>
          <val>
            <numRef>
              <f>'Sprint 8'!$B$26:$P$26</f>
            </numRef>
          </val>
          <smooth val="0"/>
        </ser>
        <ser>
          <idx val="1"/>
          <order val="1"/>
          <tx>
            <strRef>
              <f>'Sprint 8'!A28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8'!$B$2:$P$2</f>
            </strRef>
          </cat>
          <val>
            <numRef>
              <f>'Sprint 8'!$B$28:$P$28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'Sprint 9'!A16</f>
            </strRef>
          </tx>
          <spPr>
            <a:ln xmlns:a="http://schemas.openxmlformats.org/drawingml/2006/main" w="381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9'!$B$2:$K$2</f>
            </strRef>
          </cat>
          <val>
            <numRef>
              <f>'Sprint 9'!$B$16:$K$16</f>
            </numRef>
          </val>
          <smooth val="0"/>
        </ser>
        <ser>
          <idx val="1"/>
          <order val="1"/>
          <tx>
            <strRef>
              <f>'Sprint 9'!A18</f>
            </strRef>
          </tx>
          <spPr>
            <a:ln xmlns:a="http://schemas.openxmlformats.org/drawingml/2006/main" w="381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 9'!$B$2:$K$2</f>
            </strRef>
          </cat>
          <val>
            <numRef>
              <f>'Sprint 9'!$B$18:$K$18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GMG Repuestos</author>
  </authors>
  <commentList>
    <comment ref="A5" authorId="0" shapeId="0">
      <text>
        <t>E2-H4 (Prioridad Alta)
Épica E2: Catálogo de productos y búsqueda
Como cliente, quiero ver a qué modelos y años es compatible cada repuesto, para comprar la pieza correcta para mi vehículo.
SRS: RF-011
Criterios de aceptación: 2</t>
      </text>
    </comment>
    <comment ref="A6" authorId="0" shapeId="0">
      <text>
        <t>E2-H2 (Prioridad Alta)
Épica E2: Catálogo de productos y búsqueda
Como cliente, quiero filtrar el catálogo por modelo de vehículo Suzuki (Alto, S-Presso y Swift), para ver solo los repuestos compatibles con mi auto.
SRS: RF-009
Criterios de aceptación: 2</t>
      </text>
    </comment>
    <comment ref="A7" authorId="0" shapeId="0">
      <text>
        <t>E9-H1 (Prioridad Alta)
Épica E9: Diseño, experiencia de usuario y contenido informativo
Como cliente, quiero acceder desde el pie de página a Quiénes somos, Contacto, Despacho, Cambios y devoluciones, Términos y condiciones y Política de privacidad, para conocer las condiciones de compra y mis derechos como consumidor.
SRS: RF-073, RNF-009
Criterios de aceptación: 3</t>
      </text>
    </comment>
    <comment ref="A8" authorId="0" shapeId="0">
      <text>
        <t>E10-H14 (Prioridad Baja)
Épica E10: Seguridad, rendimiento e infraestructura
Como cliente, quiero ver fechas, horarios e idioma acordes a Chile, para entender la información sin confusiones.
SRS: RNF-053
Criterios de aceptación: 1</t>
      </text>
    </comment>
  </commentList>
</comments>
</file>

<file path=xl/comments/comment2.xml><?xml version="1.0" encoding="utf-8"?>
<comments xmlns="http://schemas.openxmlformats.org/spreadsheetml/2006/main">
  <authors>
    <author>GMG Repuestos</author>
  </authors>
  <commentList>
    <comment ref="A5" authorId="0" shapeId="0">
      <text>
        <t>E10-H11 (Prioridad Alta)
Épica E10: Seguridad, rendimiento e infraestructura
Como desarrollador del sistema, quiero operar en el hosting contratado, con ambientes separados y control de versiones, para desplegar cambios de forma ordenada y poder volver atrás si algo falla.
SRS: RNF-042, RNF-047, RNF-048
Criterios de aceptación: 3</t>
      </text>
    </comment>
    <comment ref="A6" authorId="0" shapeId="0">
      <text>
        <t>E8-H8 (Prioridad Alta)
Épica E8: SEO y analítica
Como representante de GMG Repuestos, quiero que el catálogo y las fichas se rendericen en el servidor, para que los buscadores puedan indexar el contenido sin ejecutar JavaScript.
SRS: RNF-019
Criterios de aceptación: 2</t>
      </text>
    </comment>
    <comment ref="A7" authorId="0" shapeId="0">
      <text>
        <t>E10-H4 (Prioridad Alta)
Épica E10: Seguridad, rendimiento e infraestructura
Como representante de GMG Repuestos, quiero que los archivos de configuración, las credenciales de Mercado Pago y de IA y la base de datos estén protegidos, para evitar filtraciones de claves y accesos indebidos.
SRS: RNF-007, RNF-034, RNF-039
Criterios de aceptación: 3</t>
      </text>
    </comment>
    <comment ref="A8" authorId="0" shapeId="0">
      <text>
        <t>E10-H1 (Prioridad Alta)
Épica E10: Seguridad, rendimiento e infraestructura
Como cliente, quiero que el sitio use una conexión cifrada (HTTPS), para proteger mis datos personales y de compra.
SRS: RNF-029, RNF-038
Criterios de aceptación: 2</t>
      </text>
    </comment>
    <comment ref="A9" authorId="0" shapeId="0">
      <text>
        <t>E10-H13 (Prioridad Media)
Épica E10: Seguridad, rendimiento e infraestructura
Como desarrollador del sistema, quiero que el código esté ordenado y documentado, para mantener y ampliar el sistema con facilidad.
SRS: RNF-051, RNF-052
Criterios de aceptación: 2</t>
      </text>
    </comment>
  </commentList>
</comments>
</file>

<file path=xl/comments/comment3.xml><?xml version="1.0" encoding="utf-8"?>
<comments xmlns="http://schemas.openxmlformats.org/spreadsheetml/2006/main">
  <authors>
    <author>GMG Repuestos</author>
  </authors>
  <commentList>
    <comment ref="A5" authorId="0" shapeId="0">
      <text>
        <t>E10-H12 (Prioridad Media)
Épica E10: Seguridad, rendimiento e infraestructura
Como administrador, quiero agregar nuevos modelos Suzuki, categorías y productos desde el panel sin cambios de código, para ampliar el catálogo a medida que crece el negocio.
SRS: RNF-050
Criterios de aceptación: 1</t>
      </text>
    </comment>
    <comment ref="A6" authorId="0" shapeId="0">
      <text>
        <t>E3-H7 (Prioridad Alta)
Épica E3: Carrito de compras y checkout
Como representante de GMG Repuestos, quiero que cada compra se registre como un pedido con número único, para dar seguimiento a cada venta.
SRS: RF-025
Criterios de aceptación: 1</t>
      </text>
    </comment>
    <comment ref="A7" authorId="0" shapeId="0">
      <text>
        <t>E4-H4 (Prioridad Alta)
Épica E4: Pagos con Mercado Pago
Como administrador, quiero que se registre cada intento de pago con sus datos de transacción, para conciliar los cobros y dar soporte a los clientes.
SRS: RF-034
Criterios de aceptación: 2</t>
      </text>
    </comment>
    <comment ref="A8" authorId="0" shapeId="0">
      <text>
        <t>E10-H7 (Prioridad Media)
Épica E10: Seguridad, rendimiento e infraestructura
Como administrador principal, quiero que el sistema registre quién hizo cambios de precio, stock, estado de pedido y códigos de descuento, para tener trazabilidad y detectar errores o usos indebidos.
SRS: RNF-040
Criterios de aceptación: 2</t>
      </text>
    </comment>
  </commentList>
</comments>
</file>

<file path=xl/comments/comment4.xml><?xml version="1.0" encoding="utf-8"?>
<comments xmlns="http://schemas.openxmlformats.org/spreadsheetml/2006/main">
  <authors>
    <author>GMG Repuestos</author>
  </authors>
  <commentList>
    <comment ref="A5" authorId="0" shapeId="0">
      <text>
        <t>E9-H4 (Prioridad Media)
Épica E9: Diseño, experiencia de usuario y contenido informativo
Como cliente, quiero ver una identidad visual consistente en todo el sitio, para reconocer la marca y orientarme con facilidad.
SRS: RNF-025
Criterios de aceptación: 1</t>
      </text>
    </comment>
    <comment ref="A6" authorId="0" shapeId="0">
      <text>
        <t>E5-H1 (Prioridad Alta)
Épica E5: Chatbot asistente de compras
Como cliente, quiero abrir un chat flotante en cualquier página del sitio, para pedir ayuda al instante sin salir de lo que estoy viendo.
SRS: RF-036
Criterios de aceptación: 2</t>
      </text>
    </comment>
    <comment ref="A7" authorId="0" shapeId="0">
      <text>
        <t>E5-H4 (Prioridad Alta)
Épica E5: Chatbot asistente de compras
Como cliente, quiero que el chatbot me pregunte el modelo y año de mi vehículo cuando haga falta, para recibir recomendaciones compatibles con mi auto.
SRS: RF-039
Criterios de aceptación: 2</t>
      </text>
    </comment>
    <comment ref="A8" authorId="0" shapeId="0">
      <text>
        <t>E5-H9 (Prioridad Media)
Épica E5: Chatbot asistente de compras
Como cliente, quiero preguntarle al chatbot por horarios, dirección, despacho, medios de pago, garantía y devoluciones, para resolver mis dudas de compra sin buscar en otras páginas.
SRS: RF-044
Criterios de aceptación: 2</t>
      </text>
    </comment>
    <comment ref="A9" authorId="0" shapeId="0">
      <text>
        <t>E9-H2 (Prioridad Alta)
Épica E9: Diseño, experiencia de usuario y contenido informativo
Como cliente, quiero usar el sitio cómodamente desde mi celular, tablet o computador, con el navegador que prefiera, para comprar desde cualquier dispositivo sin problemas.
SRS: RNF-022, RNF-024
Criterios de aceptación: 2</t>
      </text>
    </comment>
    <comment ref="A10" authorId="0" shapeId="0">
      <text>
        <t>E9-H3 (Prioridad Alta)
Épica E9: Diseño, experiencia de usuario y contenido informativo
Como cliente, quiero que el chat se adapte a la pantalla de mi celular, para conversar con el asistente sin que se tapen el teclado ni los botones de compra.
SRS: RNF-023
Criterios de aceptación: 2</t>
      </text>
    </comment>
    <comment ref="A11" authorId="0" shapeId="0">
      <text>
        <t>E9-H6 (Prioridad Media)
Épica E9: Diseño, experiencia de usuario y contenido informativo
Como cliente, quiero completar mi compra en pocos pasos y con mensajes de error claros, para no abandonar el proceso por complicaciones.
SRS: RNF-027
Criterios de aceptación: 2</t>
      </text>
    </comment>
    <comment ref="A12" authorId="0" shapeId="0">
      <text>
        <t>E9-H7 (Prioridad Baja)
Épica E9: Diseño, experiencia de usuario y contenido informativo
Como cliente, quiero ver mensajes de carga, éxito o error en cada acción, para saber si mi acción funcionó o debo repetirla.
SRS: RNF-028
Criterios de aceptación: 1</t>
      </text>
    </comment>
  </commentList>
</comments>
</file>

<file path=xl/comments/comment5.xml><?xml version="1.0" encoding="utf-8"?>
<comments xmlns="http://schemas.openxmlformats.org/spreadsheetml/2006/main">
  <authors>
    <author>GMG Repuestos</author>
  </authors>
  <commentList>
    <comment ref="A5" authorId="0" shapeId="0">
      <text>
        <t>E1-H1 (Prioridad Alta)
Épica E1: Autenticación y control de acceso
Como administrador, quiero iniciar sesión en el panel con mi correo o usuario y contraseña para gestionar el catálogo, los pedidos y el chatbot de forma segura.
SRS: RF-001, RNF-001, RNF-002, RNF-003
Criterios de aceptación: 4</t>
      </text>
    </comment>
    <comment ref="A6" authorId="0" shapeId="0">
      <text>
        <t>E1-H2 (Prioridad Alta)
Épica E1: Autenticación y control de acceso
Como administrador, quiero cerrar sesión desde cualquier vista del panel, para evitar que otra persona use mi sesión en un equipo compartido.
SRS: RF-002
Criterios de aceptación: 2</t>
      </text>
    </comment>
    <comment ref="A7" authorId="0" shapeId="0">
      <text>
        <t>E1-H3 (Prioridad Alta)
Épica E1: Autenticación y control de acceso
Como representante de GMG Repuestos, quiero que todas las páginas del panel exijan una sesión activa, para impedir que personas no autorizadas vean o modifiquen la información de la tienda.
SRS: RF-003
Criterios de aceptación: 2</t>
      </text>
    </comment>
    <comment ref="A8" authorId="0" shapeId="0">
      <text>
        <t>E1-H5 (Prioridad Media)
Épica E1: Autenticación y control de acceso
Como administrador, quiero restablecer mi contraseña mediante un enlace enviado a mi correo, para recuperar el acceso al panel si la olvido.
SRS: RF-005
Criterios de aceptación: 2</t>
      </text>
    </comment>
    <comment ref="A9" authorId="0" shapeId="0">
      <text>
        <t>E6-H1 (Prioridad Alta)
Épica E6: Panel de administración
Como administrador, quiero crear, editar, desactivar y eliminar productos desde el panel, para mantener el catálogo actualizado sin depender de phpMyAdmin.
SRS: RF-050
Criterios de aceptación: 2</t>
      </text>
    </comment>
    <comment ref="A10" authorId="0" shapeId="0">
      <text>
        <t>E6-H2 (Prioridad Alta)
Épica E6: Panel de administración
Como administrador, quiero subir imágenes de cada producto, para que los clientes vean cómo es el repuesto.
SRS: RF-051
Criterios de aceptación: 2</t>
      </text>
    </comment>
    <comment ref="A11" authorId="0" shapeId="0">
      <text>
        <t>E6-H3 (Prioridad Alta)
Épica E6: Panel de administración
Como administrador, quiero modificar el stock y el precio directamente desde el listado de productos, para actualizar datos rápidamente sin abrir cada ficha.
SRS: RF-052
Criterios de aceptación: 2</t>
      </text>
    </comment>
    <comment ref="A12" authorId="0" shapeId="0">
      <text>
        <t>E2-H1 (Prioridad Alta)
Épica E2: Catálogo de productos y búsqueda
Como cliente, quiero ver el listado de repuestos con imagen, nombre, código, precio y stock, para elegir rápidamente qué repuesto comprar.
SRS: RF-008, RNF-004
Criterios de aceptación: 3</t>
      </text>
    </comment>
    <comment ref="A13" authorId="0" shapeId="0">
      <text>
        <t>E2-H6 (Prioridad Alta)
Épica E2: Catálogo de productos y búsqueda
Como cliente, quiero ver si un producto está disponible, con pocas unidades o sin stock, para saber si podré comprarlo antes de agregarlo al carrito.
SRS: RF-013
Criterios de aceptación: 3</t>
      </text>
    </comment>
    <comment ref="A14" authorId="0" shapeId="0">
      <text>
        <t>E2-H3 (Prioridad Alta)
Épica E2: Catálogo de productos y búsqueda
Como cliente, quiero buscar repuestos por nombre, código, código OEM o modelo compatible, para encontrar rápidamente la pieza que necesito.
SRS: RF-010, RNF-005
Criterios de aceptación: 3</t>
      </text>
    </comment>
    <comment ref="A15" authorId="0" shapeId="0">
      <text>
        <t>E2-H5 (Prioridad Alta)
Épica E2: Catálogo de productos y búsqueda
Como cliente, quiero abrir la ficha de un producto con su detalle completo, para decidir la compra con toda la información a la vista.
SRS: RF-012
Criterios de aceptación: 2</t>
      </text>
    </comment>
    <comment ref="A16" authorId="0" shapeId="0">
      <text>
        <t>E1-H4 (Prioridad Alta)
Épica E1: Autenticación y control de acceso
Como cliente, quiero navegar, consultar al chatbot y comprar sin crear una cuenta, para concretar mi compra de forma rápida y sin trámites previos.
SRS: RF-004
Criterios de aceptación: 2</t>
      </text>
    </comment>
    <comment ref="A17" authorId="0" shapeId="0">
      <text>
        <t>E3-H1 (Prioridad Alta)
Épica E3: Carrito de compras y checkout
Como cliente, quiero agregar productos al carrito desde el listado, la ficha o el chatbot, para reunir lo que quiero comprar en un solo lugar.
SRS: RF-019
Criterios de aceptación: 2</t>
      </text>
    </comment>
    <comment ref="A18" authorId="0" shapeId="0">
      <text>
        <t>E3-H2 (Prioridad Alta)
Épica E3: Carrito de compras y checkout
Como cliente, quiero ver mi carrito, cambiar cantidades y eliminar productos, para ajustar mi pedido antes de pagar.
SRS: RF-020
Criterios de aceptación: 2</t>
      </text>
    </comment>
    <comment ref="A19" authorId="0" shapeId="0">
      <text>
        <t>E3-H3 (Prioridad Alta)
Épica E3: Carrito de compras y checkout
Como cliente, quiero ingresar mis datos de compra en el checkout (nombre, RUT, correo, teléfono y dirección o comuna), para recibir mi pedido y poder ser contactado.
SRS: RF-021
Criterios de aceptación: 2</t>
      </text>
    </comment>
    <comment ref="A20" authorId="0" shapeId="0">
      <text>
        <t>E3-H4 (Prioridad Alta)
Épica E3: Carrito de compras y checkout
Como cliente, quiero elegir entre retiro en tienda o despacho a domicilio, para recibir mi compra de la forma que más me conviene.
SRS: RF-022
Criterios de aceptación: 2</t>
      </text>
    </comment>
    <comment ref="A21" authorId="0" shapeId="0">
      <text>
        <t>E3-H5 (Prioridad Alta)
Épica E3: Carrito de compras y checkout
Como cliente, quiero ver un resumen completo de mi pedido antes de pagar, para confirmar que todo está correcto antes de ir a la pasarela de pago.
SRS: RF-023
Criterios de aceptación: 2</t>
      </text>
    </comment>
    <comment ref="A22" authorId="0" shapeId="0">
      <text>
        <t>E3-H6 (Prioridad Alta)
Épica E3: Carrito de compras y checkout
Como representante de GMG Repuestos, quiero que el sistema recalcule precios y verifique el stock en el servidor al confirmar la compra, para evitar cobros incorrectos y ventas de productos sin stock.
SRS: RF-024
Criterios de aceptación: 2</t>
      </text>
    </comment>
    <comment ref="A23" authorId="0" shapeId="0">
      <text>
        <t>E4-H1 (Prioridad Alta)
Épica E4: Pagos con Mercado Pago
Como cliente, quiero pagar mi pedido en línea con Mercado Pago, para completar mi compra de forma segura sin salir a otro canal.
SRS: RF-030, RNF-006, RNF-008
Criterios de aceptación: 2</t>
      </text>
    </comment>
    <comment ref="A24" authorId="0" shapeId="0">
      <text>
        <t>E4-H2 (Prioridad Alta)
Épica E4: Pagos con Mercado Pago
Como representante de GMG Repuestos, quiero que el sistema reciba y verifique las notificaciones de pago de Mercado Pago, para que el estado del pedido refleje siempre el pago real.
SRS: RF-032
Criterios de aceptación: 2</t>
      </text>
    </comment>
    <comment ref="A25" authorId="0" shapeId="0">
      <text>
        <t>E4-H3 (Prioridad Alta)
Épica E4: Pagos con Mercado Pago
Como representante de GMG Repuestos, quiero que el estado del pedido y el stock se actualicen según el resultado del pago, para tener ventas y existencias correctas.
SRS: RF-033, RNF-008
Criterios de aceptación: 3</t>
      </text>
    </comment>
    <comment ref="A26" authorId="0" shapeId="0">
      <text>
        <t>E6-H4 (Prioridad Alta)
Épica E6: Panel de administración
Como administrador, quiero listar los pedidos, ver su detalle y cambiar su estado, para gestionar la preparación y entrega de cada venta.
SRS: RF-053
Criterios de aceptación: 2</t>
      </text>
    </comment>
    <comment ref="A27" authorId="0" shapeId="0">
      <text>
        <t>E10-H5 (Prioridad Alta)
Épica E10: Seguridad, rendimiento e infraestructura
Como representante de GMG Repuestos, quiero que los archivos subidos al sistema se validen y almacenen de forma segura, para evitar que se cargue código malicioso.
SRS: RNF-036
Criterios de aceptación: 2</t>
      </text>
    </comment>
    <comment ref="A28" authorId="0" shapeId="0">
      <text>
        <t>E10-H2 (Prioridad Alta)
Épica E10: Seguridad, rendimiento e infraestructura
Como representante de GMG Repuestos, quiero que el sistema esté protegido contra inyección SQL, XSS y CSRF y valide todas las entradas en el servidor, para evitar manipulación de datos, fraudes y pérdida de información.
SRS: RNF-030, RNF-031, RNF-032, RNF-033
Criterios de aceptación: 4</t>
      </text>
    </comment>
  </commentList>
</comments>
</file>

<file path=xl/comments/comment6.xml><?xml version="1.0" encoding="utf-8"?>
<comments xmlns="http://schemas.openxmlformats.org/spreadsheetml/2006/main">
  <authors>
    <author>GMG Repuestos</author>
  </authors>
  <commentList>
    <comment ref="A5" authorId="0" shapeId="0">
      <text>
        <t>E5-H2 (Prioridad Alta)
Épica E5: Chatbot asistente de compras
Como cliente, quiero escribirle al chatbot en español coloquial, tal como hablo, para obtener ayuda sin tener que usar términos técnicos.
SRS: RF-037, RNF-016
Criterios de aceptación: 2</t>
      </text>
    </comment>
    <comment ref="A6" authorId="0" shapeId="0">
      <text>
        <t>E5-H3 (Prioridad Alta)
Épica E5: Chatbot asistente de compras
Como cliente, quiero que el chatbot busque repuestos en el catálogo real, para recibir precios, stock y compatibilidad confiables.
SRS: RF-038, RNF-010, RNF-030
Criterios de aceptación: 2</t>
      </text>
    </comment>
    <comment ref="A7" authorId="0" shapeId="0">
      <text>
        <t>E5-H15 (Prioridad Alta)
Épica E5: Chatbot asistente de compras
Como representante de GMG Repuestos, quiero que el chatbot responda solo sobre la tienda y los repuestos Suzuki y resista intentos de manipulación, para proteger la imagen de la marca y la confiabilidad del servicio.
SRS: RNF-011
Criterios de aceptación: 2</t>
      </text>
    </comment>
    <comment ref="A8" authorId="0" shapeId="0">
      <text>
        <t>E5-H17 (Prioridad Alta)
Épica E5: Chatbot asistente de compras
Como representante de GMG Repuestos, quiero limitar el consumo de la API de IA y proteger su clave, para controlar los costos mensuales y evitar abusos.
SRS: RNF-013, RNF-015
Criterios de aceptación: 2</t>
      </text>
    </comment>
    <comment ref="A9" authorId="0" shapeId="0">
      <text>
        <t>E5-H16 (Prioridad Alta)
Épica E5: Chatbot asistente de compras
Como cliente, quiero que el chat siga ayudándome aunque falle el proveedor de IA y responda con rapidez, para no quedar sin atención ni esperar demasiado.
SRS: RNF-012, RNF-014
Criterios de aceptación: 2</t>
      </text>
    </comment>
    <comment ref="A10" authorId="0" shapeId="0">
      <text>
        <t>E5-H13 (Prioridad Baja)
Épica E5: Chatbot asistente de compras
Como cliente, quiero enviar una foto de la pieza que busco, para identificar el repuesto aunque no conozca su nombre.
SRS: RF-048
Criterios de aceptación: 2</t>
      </text>
    </comment>
    <comment ref="A11" authorId="0" shapeId="0">
      <text>
        <t>E10-H3 (Prioridad Alta)
Épica E10: Seguridad, rendimiento e infraestructura
Como representante de GMG Repuestos, quiero limitar las solicitudes a los endpoints públicos y activar un desafío anti-bot cuando haya tráfico automatizado, para prevenir abusos, fuerza bruta de códigos y consumo excesivo de la API de IA.
SRS: RNF-035, RNF-041
Criterios de aceptación: 2</t>
      </text>
    </comment>
  </commentList>
</comments>
</file>

<file path=xl/comments/comment7.xml><?xml version="1.0" encoding="utf-8"?>
<comments xmlns="http://schemas.openxmlformats.org/spreadsheetml/2006/main">
  <authors>
    <author>GMG Repuestos</author>
  </authors>
  <commentList>
    <comment ref="A5" authorId="0" shapeId="0">
      <text>
        <t>E5-H8 (Prioridad Alta)
Épica E5: Chatbot asistente de compras
Como cliente, quiero que el chat recuerde mi conversación mientras navego por el sitio, para no repetir la información que ya entregué.
SRS: RF-043
Criterios de aceptación: 2</t>
      </text>
    </comment>
    <comment ref="A6" authorId="0" shapeId="0">
      <text>
        <t>E5-H5 (Prioridad Alta)
Épica E5: Chatbot asistente de compras
Como cliente, quiero ver los productos encontrados como tarjetas dentro del chat, para evaluar las opciones sin salir de la conversación.
SRS: RF-040
Criterios de aceptación: 2</t>
      </text>
    </comment>
    <comment ref="A7" authorId="0" shapeId="0">
      <text>
        <t>E5-H6 (Prioridad Alta)
Épica E5: Chatbot asistente de compras
Como cliente, quiero agregar al carrito un producto recomendado sin salir del chat, para comprar de forma ágil mientras converso.
SRS: RF-041
Criterios de aceptación: 2</t>
      </text>
    </comment>
    <comment ref="A8" authorId="0" shapeId="0">
      <text>
        <t>E5-H7 (Prioridad Alta)
Épica E5: Chatbot asistente de compras
Como cliente, quiero continuar por WhatsApp con mi conversación resumida cuando el chatbot no pueda ayudarme, para no tener que repetir mi consulta a una persona.
SRS: RF-042
Criterios de aceptación: 2</t>
      </text>
    </comment>
    <comment ref="A9" authorId="0" shapeId="0">
      <text>
        <t>E2-H11 (Prioridad Baja)
Épica E2: Catálogo de productos y búsqueda
Como cliente, quiero ver productos relacionados en la ficha de un repuesto, para descubrir otras piezas que necesito para el mismo trabajo.
SRS: RF-018
Criterios de aceptación: 2</t>
      </text>
    </comment>
    <comment ref="A10" authorId="0" shapeId="0">
      <text>
        <t>E2-H10 (Prioridad Media)
Épica E2: Catálogo de productos y búsqueda
Como cliente, quiero recibir alternativas cuando mi búsqueda no arroja resultados, para no quedarme sin ayuda para encontrar mi repuesto.
SRS: RF-017
Criterios de aceptación: 2</t>
      </text>
    </comment>
    <comment ref="A11" authorId="0" shapeId="0">
      <text>
        <t>E2-H7 (Prioridad Media)
Épica E2: Catálogo de productos y búsqueda
Como cliente, quiero recibir sugerencias mientras escribo en la barra de búsqueda, para llegar más rápido a la ficha del producto.
SRS: RF-014
Criterios de aceptación: 2</t>
      </text>
    </comment>
    <comment ref="A12" authorId="0" shapeId="0">
      <text>
        <t>E5-H12 (Prioridad Baja)
Épica E5: Chatbot asistente de compras
Como cliente, quiero consultar al chatbot el estado de mi pedido con mi número de pedido y correo, para saber en qué etapa va mi compra.
SRS: RF-047
Criterios de aceptación: 2</t>
      </text>
    </comment>
    <comment ref="A13" authorId="0" shapeId="0">
      <text>
        <t>E2-H9 (Prioridad Media)
Épica E2: Catálogo de productos y búsqueda
Como cliente, quiero dejar mi correo o teléfono en un producto sin stock, para recibir un aviso cuando vuelva a estar disponible.
SRS: RF-016
Criterios de aceptación: 2</t>
      </text>
    </comment>
    <comment ref="A14" authorId="0" shapeId="0">
      <text>
        <t>E5-H11 (Prioridad Baja)
Épica E5: Chatbot asistente de compras
Como cliente, quiero que el chatbot me ofrezca un aviso cuando un producto sin stock vuelva a estar disponible, para no perder la oportunidad de comprarlo.
SRS: RF-046
Criterios de aceptación: 2</t>
      </text>
    </comment>
    <comment ref="A15" authorId="0" shapeId="0">
      <text>
        <t>E6-H10 (Prioridad Baja)
Épica E6: Panel de administración
Como administrador, quiero ver las solicitudes de aviso de reposición por producto y marcarlas como notificadas, para saber a quién avisar y evitar notificar dos veces.
SRS: RF-059
Criterios de aceptación: 2</t>
      </text>
    </comment>
    <comment ref="A16" authorId="0" shapeId="0">
      <text>
        <t>E7-H3 (Prioridad Baja)
Épica E7: Notificaciones y comunicación
Como cliente, quiero recibir un correo cuando vuelva el stock del producto que pedí que me avisaran, para comprarlo apenas esté disponible.
SRS: RF-064
Criterios de aceptación: 2</t>
      </text>
    </comment>
    <comment ref="A17" authorId="0" shapeId="0">
      <text>
        <t>E5-H10 (Prioridad Media)
Épica E5: Chatbot asistente de compras
Como cliente, quiero valorar de forma positiva o negativa cada respuesta del chatbot, para ayudar a mejorar el asistente.
SRS: RF-045
Criterios de aceptación: 2</t>
      </text>
    </comment>
    <comment ref="A18" authorId="0" shapeId="0">
      <text>
        <t>E5-H18 (Prioridad Media)
Épica E5: Chatbot asistente de compras
Como cliente, quiero saber que mis conversaciones con el chat se almacenan y por cuánto tiempo, para decidir con tranquilidad qué información comparto.
SRS: RNF-017
Criterios de aceptación: 2</t>
      </text>
    </comment>
    <comment ref="A19" authorId="0" shapeId="0">
      <text>
        <t>E6-H5 (Prioridad Alta)
Épica E6: Panel de administración
Como administrador, quiero revisar las conversaciones del chatbot, para detectar consultas mal resueltas y oportunidades de mejora.
SRS: RF-054
Criterios de aceptación: 2</t>
      </text>
    </comment>
    <comment ref="A20" authorId="0" shapeId="0">
      <text>
        <t>E6-H9 (Prioridad Media)
Épica E6: Panel de administración
Como administrador, quiero editar el mensaje de bienvenida, las preguntas frecuentes, el número de WhatsApp y los horarios del chatbot, para mantener el asistente al día sin modificar código.
SRS: RF-058
Criterios de aceptación: 2</t>
      </text>
    </comment>
    <comment ref="A21" authorId="0" shapeId="0">
      <text>
        <t>E5-H14 (Prioridad Baja)
Épica E5: Chatbot asistente de compras
Como cliente, quiero conversar con el asistente también por Telegram, para recibir la misma ayuda desde la aplicación que ya uso.
SRS: RF-049
Criterios de aceptación: 2</t>
      </text>
    </comment>
  </commentList>
</comments>
</file>

<file path=xl/comments/comment8.xml><?xml version="1.0" encoding="utf-8"?>
<comments xmlns="http://schemas.openxmlformats.org/spreadsheetml/2006/main">
  <authors>
    <author>GMG Repuestos</author>
  </authors>
  <commentList>
    <comment ref="A5" authorId="0" shapeId="0">
      <text>
        <t>E3-H8 (Prioridad Alta)
Épica E3: Carrito de compras y checkout
Como cliente, quiero recibir una confirmación de mi compra con el número de pedido, para tener certeza de que mi pedido quedó registrado.
SRS: RF-026
Criterios de aceptación: 2</t>
      </text>
    </comment>
    <comment ref="A6" authorId="0" shapeId="0">
      <text>
        <t>E4-H5 (Prioridad Media)
Épica E4: Pagos con Mercado Pago
Como cliente, quiero recibir un mensaje claro y poder reintentar si mi pago es rechazado o cancelado, para completar mi compra sin tener que empezar de nuevo.
SRS: RF-035
Criterios de aceptación: 2</t>
      </text>
    </comment>
    <comment ref="A7" authorId="0" shapeId="0">
      <text>
        <t>E7-H1 (Prioridad Alta)
Épica E7: Notificaciones y comunicación
Como administrador, quiero recibir un aviso por correo (y opcionalmente por WhatsApp) cuando se apruebe un pago, para preparar el pedido de inmediato.
SRS: RF-062
Criterios de aceptación: 2</t>
      </text>
    </comment>
    <comment ref="A8" authorId="0" shapeId="0">
      <text>
        <t>E7-H2 (Prioridad Media)
Épica E7: Notificaciones y comunicación
Como cliente, quiero recibir un correo cuando mi pedido sea despachado o esté listo para retiro, para saber cuándo recibiré o podré retirar mi compra.
SRS: RF-063
Criterios de aceptación: 2</t>
      </text>
    </comment>
    <comment ref="A9" authorId="0" shapeId="0">
      <text>
        <t>E3-H9 (Prioridad Media)
Épica E3: Carrito de compras y checkout
Como cliente, quiero que mi carrito se conserve al recargar o navegar por el sitio, para no perder mi selección si me distraigo o cierro la página.
SRS: RF-027
Criterios de aceptación: 2</t>
      </text>
    </comment>
    <comment ref="A10" authorId="0" shapeId="0">
      <text>
        <t>E3-H10 (Prioridad Media)
Épica E3: Carrito de compras y checkout
Como cliente, quiero ingresar un código de descuento en mi compra, para pagar menos cuando tengo una promoción.
SRS: RF-028
Criterios de aceptación: 2</t>
      </text>
    </comment>
    <comment ref="A11" authorId="0" shapeId="0">
      <text>
        <t>E6-H7 (Prioridad Media)
Épica E6: Panel de administración
Como administrador, quiero crear, editar y desactivar códigos de descuento, para lanzar promociones controladas.
SRS: RF-056
Criterios de aceptación: 2</t>
      </text>
    </comment>
    <comment ref="A12" authorId="0" shapeId="0">
      <text>
        <t>E3-H11 (Prioridad Media)
Épica E3: Carrito de compras y checkout
Como cliente, quiero finalizar mi compra por WhatsApp con un mensaje ya preparado, para comprar por mi canal de preferencia si no quiero pagar en línea.
SRS: RF-029
Criterios de aceptación: 2</t>
      </text>
    </comment>
    <comment ref="A13" authorId="0" shapeId="0">
      <text>
        <t>E7-H4 (Prioridad Media)
Épica E7: Notificaciones y comunicación
Como cliente, quiero tener un acceso visible a WhatsApp en el sitio con un mensaje ya preparado, para contactar a la tienda rápidamente desde donde estoy.
SRS: RF-065
Criterios de aceptación: 2</t>
      </text>
    </comment>
    <comment ref="A14" authorId="0" shapeId="0">
      <text>
        <t>E2-H8 (Prioridad Media)
Épica E2: Catálogo de productos y búsqueda
Como cliente, quiero filtrar y ordenar el catálogo por categoría, precio y disponibilidad, para acotar los resultados a lo que busco.
SRS: RF-015
Criterios de aceptación: 2</t>
      </text>
    </comment>
    <comment ref="A15" authorId="0" shapeId="0">
      <text>
        <t>E1-H6 (Prioridad Baja)
Épica E1: Autenticación y control de acceso
Como administrador principal, quiero crear, desactivar y cambiar la contraseña de otras cuentas de administración desde el panel, para gestionar a quienes acceden sin recurrir a phpMyAdmin.
SRS: RF-006
Criterios de aceptación: 2</t>
      </text>
    </comment>
    <comment ref="A16" authorId="0" shapeId="0">
      <text>
        <t>E1-H7 (Prioridad Baja)
Épica E1: Autenticación y control de acceso
Como representante de GMG Repuestos, quiero contar con los roles Administrador y Vendedor con permisos diferenciados, para que cada persona acceda solo a lo que necesita para su trabajo.
SRS: RF-007
Criterios de aceptación: 2</t>
      </text>
    </comment>
    <comment ref="A17" authorId="0" shapeId="0">
      <text>
        <t>E6-H6 (Prioridad Media)
Épica E6: Panel de administración
Como administrador, quiero ver un dashboard con indicadores clave al ingresar al panel, para conocer el estado del negocio de un vistazo.
SRS: RF-055
Criterios de aceptación: 1</t>
      </text>
    </comment>
    <comment ref="A18" authorId="0" shapeId="0">
      <text>
        <t>E6-H11 (Prioridad Baja)
Épica E6: Panel de administración
Como administrador, quiero cambiar los banners de la portada y editar los textos de las páginas informativas, para mantener el sitio actualizado sin ayuda técnica.
SRS: RF-060
Criterios de aceptación: 2</t>
      </text>
    </comment>
    <comment ref="A19" authorId="0" shapeId="0">
      <text>
        <t>E6-H12 (Prioridad Baja)
Épica E6: Panel de administración
Como administrador, quiero generar reportes de ventas, productos más vendidos, términos más buscados y consultas sin resultado, exportables a CSV, para analizar el comportamiento del negocio y mejorar la oferta.
SRS: RF-061
Criterios de aceptación: 2</t>
      </text>
    </comment>
    <comment ref="A20" authorId="0" shapeId="0">
      <text>
        <t>E8-H1 (Prioridad Alta)
Épica E8: SEO y analítica
Como representante de GMG Repuestos, quiero que cada producto, categoría y modelo tenga title y meta description únicos, para aparecer mejor posicionado en los buscadores.
SRS: RF-066
Criterios de aceptación: 2</t>
      </text>
    </comment>
    <comment ref="A21" authorId="0" shapeId="0">
      <text>
        <t>E8-H3 (Prioridad Media)
Épica E8: SEO y analítica
Como cliente, quiero que las direcciones del sitio sean legibles (ej. /repuestos/swift/pastillas-freno-delanteras), para entender y compartir los enlaces fácilmente.
SRS: RF-068
Criterios de aceptación: 2</t>
      </text>
    </comment>
    <comment ref="A22" authorId="0" shapeId="0">
      <text>
        <t>E8-H4 (Prioridad Media)
Épica E8: SEO y analítica
Como representante de GMG Repuestos, quiero que las fichas incluyan datos estructurados Schema.org, para que los buscadores muestren precio y disponibilidad en los resultados.
SRS: RF-069
Criterios de aceptación: 2</t>
      </text>
    </comment>
    <comment ref="A23" authorId="0" shapeId="0">
      <text>
        <t>E8-H7 (Prioridad Baja)
Épica E8: SEO y analítica
Como cliente, quiero ver migas de pan en las fichas y categorías, para saber dónde estoy y volver fácilmente a un nivel anterior.
SRS: RF-072
Criterios de aceptación: 1</t>
      </text>
    </comment>
    <comment ref="A24" authorId="0" shapeId="0">
      <text>
        <t>E8-H6 (Prioridad Media)
Épica E8: SEO y analítica
Como representante de GMG Repuestos, quiero medir con Google Analytics 4 los eventos de compra y del chatbot, para entender qué funciona y mejorar las ventas.
SRS: RF-071
Criterios de aceptación: 2</t>
      </text>
    </comment>
  </commentList>
</comments>
</file>

<file path=xl/comments/comment9.xml><?xml version="1.0" encoding="utf-8"?>
<comments xmlns="http://schemas.openxmlformats.org/spreadsheetml/2006/main">
  <authors>
    <author>GMG Repuestos</author>
  </authors>
  <commentList>
    <comment ref="A5" authorId="0" shapeId="0">
      <text>
        <t>E6-H8 (Prioridad Media)
Épica E6: Panel de administración
Como administrador, quiero importar y actualizar productos, precios y stock desde un archivo CSV o Excel, para cargar muchos datos sin editar producto por producto.
SRS: RF-057
Criterios de aceptación: 2</t>
      </text>
    </comment>
    <comment ref="A6" authorId="0" shapeId="0">
      <text>
        <t>E8-H9 (Prioridad Media)
Épica E8: SEO y analítica
Como cliente, quiero que las imágenes de producto tengan un texto alternativo descriptivo, para entender qué muestra cada imagen aunque no pueda verla.
SRS: RNF-021
Criterios de aceptación: 1</t>
      </text>
    </comment>
    <comment ref="A7" authorId="0" shapeId="0">
      <text>
        <t>E8-H2 (Prioridad Alta)
Épica E8: SEO y analítica
Como representante de GMG Repuestos, quiero que el sitio genere un sitemap.xml y un robots.txt adecuados, para que los buscadores indexen lo importante y no las áreas privadas.
SRS: RF-067
Criterios de aceptación: 2</t>
      </text>
    </comment>
    <comment ref="A8" authorId="0" shapeId="0">
      <text>
        <t>E8-H5 (Prioridad Media)
Épica E8: SEO y analítica
Como representante de GMG Repuestos, quiero que cada página tenga etiquetas Open Graph, para que al compartir un enlace se vea una vista previa correcta.
SRS: RF-070
Criterios de aceptación: 1</t>
      </text>
    </comment>
    <comment ref="A9" authorId="0" shapeId="0">
      <text>
        <t>E10-H8 (Prioridad Alta)
Épica E10: Seguridad, rendimiento e infraestructura
Como cliente, quiero que las páginas carguen rápido, incluso en el celular, para comprar sin esperar ni abandonar el sitio.
SRS: RNF-043, RNF-020, RNF-046
Criterios de aceptación: 3</t>
      </text>
    </comment>
    <comment ref="A10" authorId="0" shapeId="0">
      <text>
        <t>E9-H5 (Prioridad Media)
Épica E9: Diseño, experiencia de usuario y contenido informativo
Como cliente, quiero poder usar el sitio con teclado y lectores de pantalla, para comprar aunque tenga dificultades de visión o movilidad.
SRS: RNF-026
Criterios de aceptación: 2</t>
      </text>
    </comment>
    <comment ref="A11" authorId="0" shapeId="0">
      <text>
        <t>E10-H6 (Prioridad Alta)
Épica E10: Seguridad, rendimiento e infraestructura
Como cliente, quiero que mis datos personales se traten con mi consentimiento y poder ejercer mis derechos, para mantener el control sobre mi información.
SRS: RNF-037
Criterios de aceptación: 2</t>
      </text>
    </comment>
    <comment ref="A12" authorId="0" shapeId="0">
      <text>
        <t>E7-H5 (Prioridad Media)
Épica E7: Notificaciones y comunicación
Como cliente, quiero que los correos de la tienda lleguen a mi bandeja de entrada y no a spam, para no perder información sobre mi pedido.
SRS: RNF-018
Criterios de aceptación: 2</t>
      </text>
    </comment>
    <comment ref="A13" authorId="0" shapeId="0">
      <text>
        <t>E10-H9 (Prioridad Alta)
Épica E10: Seguridad, rendimiento e infraestructura
Como representante de GMG Repuestos, quiero contar con respaldos automáticos y una restauración probada, para recuperar la tienda rápidamente ante una falla o pérdida de datos.
SRS: RNF-044
Criterios de aceptación: 2</t>
      </text>
    </comment>
    <comment ref="A14" authorId="0" shapeId="0">
      <text>
        <t>E10-H10 (Prioridad Media)
Épica E10: Seguridad, rendimiento e infraestructura
Como representante de GMG Repuestos, quiero que el sitio esté disponible y que los fallos se detecten rápidamente, para no perder ventas por caídas ni por errores sin atender.
SRS: RNF-045, RNF-049
Criterios de aceptación: 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23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13</col>
      <colOff>0</colOff>
      <row>1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6.3" customWidth="1" style="26" min="12" max="12"/>
    <col width="10.71" customWidth="1" style="26" min="13" max="13"/>
  </cols>
  <sheetData>
    <row r="1">
      <c r="A1" s="27" t="inlineStr">
        <is>
          <t>Control del Sprint</t>
        </is>
      </c>
      <c r="B1" s="28" t="inlineStr">
        <is>
          <t>Sprint 1: Levantamiento de requerimientos y catálogo piloto (01/09/2026 al 14/09/2026)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01/09</t>
        </is>
      </c>
      <c r="D2" s="30" t="inlineStr">
        <is>
          <t>02/09</t>
        </is>
      </c>
      <c r="E2" s="30" t="inlineStr">
        <is>
          <t>03/09</t>
        </is>
      </c>
      <c r="F2" s="30" t="inlineStr">
        <is>
          <t>04/09</t>
        </is>
      </c>
      <c r="G2" s="30" t="inlineStr">
        <is>
          <t>07/09</t>
        </is>
      </c>
      <c r="H2" s="30" t="inlineStr">
        <is>
          <t>08/09</t>
        </is>
      </c>
      <c r="I2" s="30" t="inlineStr">
        <is>
          <t>09/09</t>
        </is>
      </c>
      <c r="J2" s="30" t="inlineStr">
        <is>
          <t>10/09</t>
        </is>
      </c>
      <c r="K2" s="30" t="inlineStr">
        <is>
          <t>11/09</t>
        </is>
      </c>
      <c r="L2" s="30" t="inlineStr">
        <is>
          <t>14/09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/>
    </row>
    <row r="5">
      <c r="A5" s="32" t="inlineStr">
        <is>
          <t>E2-H4: Ver compatibilidad por modelo y año</t>
        </is>
      </c>
      <c r="B5" s="33" t="n">
        <v>23</v>
      </c>
      <c r="C5" s="33" t="n">
        <v>7</v>
      </c>
      <c r="D5" s="33" t="n">
        <v>7</v>
      </c>
      <c r="E5" s="33" t="n">
        <v>5</v>
      </c>
      <c r="F5" s="33" t="n">
        <v>4</v>
      </c>
      <c r="G5" s="33" t="n"/>
      <c r="H5" s="33" t="n"/>
      <c r="I5" s="33" t="n"/>
      <c r="J5" s="33" t="n"/>
      <c r="K5" s="33" t="n"/>
      <c r="L5" s="33" t="n"/>
      <c r="M5" s="33">
        <f>SUM(C5:L5)</f>
        <v>23</v>
      </c>
    </row>
    <row r="6">
      <c r="A6" s="32" t="inlineStr">
        <is>
          <t>E2-H2: Filtrar el catálogo por modelo Suzuki</t>
        </is>
      </c>
      <c r="B6" s="33" t="n">
        <v>14</v>
      </c>
      <c r="C6" s="33" t="n"/>
      <c r="D6" s="33" t="n"/>
      <c r="E6" s="33" t="n"/>
      <c r="F6" s="33" t="n">
        <v>7</v>
      </c>
      <c r="G6" s="33" t="n">
        <v>4</v>
      </c>
      <c r="H6" s="33" t="n">
        <v>3</v>
      </c>
      <c r="I6" s="33" t="n"/>
      <c r="J6" s="33" t="n"/>
      <c r="K6" s="33" t="n"/>
      <c r="L6" s="33" t="n"/>
      <c r="M6" s="33">
        <f>SUM(C6:L6)</f>
        <v>14</v>
      </c>
    </row>
    <row r="7">
      <c r="A7" s="32" t="inlineStr">
        <is>
          <t>E9-H1: Páginas informativas y legales en el pie</t>
        </is>
      </c>
      <c r="B7" s="33" t="n">
        <v>23</v>
      </c>
      <c r="C7" s="33" t="n"/>
      <c r="D7" s="33" t="n"/>
      <c r="E7" s="33" t="n"/>
      <c r="F7" s="33" t="n"/>
      <c r="G7" s="33" t="n"/>
      <c r="H7" s="33" t="n">
        <v>5</v>
      </c>
      <c r="I7" s="33" t="n">
        <v>4</v>
      </c>
      <c r="J7" s="33" t="n">
        <v>5</v>
      </c>
      <c r="K7" s="33" t="n">
        <v>3</v>
      </c>
      <c r="L7" s="33" t="n">
        <v>6</v>
      </c>
      <c r="M7" s="33">
        <f>SUM(C7:L7)</f>
        <v>23</v>
      </c>
    </row>
    <row r="8">
      <c r="A8" s="32" t="inlineStr">
        <is>
          <t>E10-H14: Fechas, horarios e idioma de Chile</t>
        </is>
      </c>
      <c r="B8" s="33" t="n">
        <v>8</v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>
        <v>2</v>
      </c>
      <c r="L8" s="33" t="n">
        <v>6</v>
      </c>
      <c r="M8" s="33">
        <f>SUM(C8:L8)</f>
        <v>8</v>
      </c>
    </row>
    <row r="10">
      <c r="A10" s="34" t="inlineStr">
        <is>
          <t>Reales de producto por realizar</t>
        </is>
      </c>
      <c r="B10" s="35">
        <f>SUM(B5:B8)</f>
        <v>68</v>
      </c>
      <c r="C10" s="35">
        <f>B10-SUM(C5:C8)</f>
        <v>61</v>
      </c>
      <c r="D10" s="35">
        <f>C10-SUM(D5:D8)</f>
        <v>54</v>
      </c>
      <c r="E10" s="35">
        <f>D10-SUM(E5:E8)</f>
        <v>49</v>
      </c>
      <c r="F10" s="35">
        <f>E10-SUM(F5:F8)</f>
        <v>38</v>
      </c>
      <c r="G10" s="35">
        <f>F10-SUM(G5:G8)</f>
        <v>34</v>
      </c>
      <c r="H10" s="35">
        <f>G10-SUM(H5:H8)</f>
        <v>26</v>
      </c>
      <c r="I10" s="35">
        <f>H10-SUM(I5:I8)</f>
        <v>22</v>
      </c>
      <c r="J10" s="35">
        <f>I10-SUM(J5:J8)</f>
        <v>17</v>
      </c>
      <c r="K10" s="35">
        <f>J10-SUM(K5:K8)</f>
        <v>12</v>
      </c>
      <c r="L10" s="35">
        <f>K10-SUM(L5:L8)</f>
        <v>0</v>
      </c>
    </row>
    <row r="12">
      <c r="A12" s="34" t="inlineStr">
        <is>
          <t>Estimadas de producto por realizar</t>
        </is>
      </c>
      <c r="B12" s="36">
        <f>SUM(B5:B8)</f>
        <v>68</v>
      </c>
      <c r="C12" s="36">
        <f>$B$12-SUM($B$5:$B$8)*C$4/COUNT($C$4:$L$4)</f>
        <v>61.2</v>
      </c>
      <c r="D12" s="36">
        <f>$B$12-SUM($B$5:$B$8)*D$4/COUNT($C$4:$L$4)</f>
        <v>54.4</v>
      </c>
      <c r="E12" s="36">
        <f>$B$12-SUM($B$5:$B$8)*E$4/COUNT($C$4:$L$4)</f>
        <v>47.6</v>
      </c>
      <c r="F12" s="36">
        <f>$B$12-SUM($B$5:$B$8)*F$4/COUNT($C$4:$L$4)</f>
        <v>40.8</v>
      </c>
      <c r="G12" s="36">
        <f>$B$12-SUM($B$5:$B$8)*G$4/COUNT($C$4:$L$4)</f>
        <v>34</v>
      </c>
      <c r="H12" s="36">
        <f>$B$12-SUM($B$5:$B$8)*H$4/COUNT($C$4:$L$4)</f>
        <v>27.2</v>
      </c>
      <c r="I12" s="36">
        <f>$B$12-SUM($B$5:$B$8)*I$4/COUNT($C$4:$L$4)</f>
        <v>20.4</v>
      </c>
      <c r="J12" s="36">
        <f>$B$12-SUM($B$5:$B$8)*J$4/COUNT($C$4:$L$4)</f>
        <v>13.6</v>
      </c>
      <c r="K12" s="36">
        <f>$B$12-SUM($B$5:$B$8)*K$4/COUNT($C$4:$L$4)</f>
        <v>6.8</v>
      </c>
      <c r="L12" s="36">
        <f>$B$12-SUM($B$5:$B$8)*L$4/COUNT($C$4:$L$4)</f>
        <v>0</v>
      </c>
    </row>
    <row r="14">
      <c r="A14" s="37" t="inlineStr">
        <is>
          <t>Historias de usuario del Documento de Épicas e Historias de Usuario (pase el cursor sobre cada historia para ver su enunciado completo).</t>
        </is>
      </c>
    </row>
    <row r="15">
      <c r="A15" s="37" t="inlineStr">
        <is>
          <t>DIA: 10 días hábiles entre el 01/09/2026 y el 14/09/2026 (la fila Fecha indica cada día).</t>
        </is>
      </c>
    </row>
  </sheetData>
  <mergeCells count="4">
    <mergeCell ref="B3:B4"/>
    <mergeCell ref="A3:A4"/>
    <mergeCell ref="C3:L3"/>
    <mergeCell ref="M3:M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10.71" customWidth="1" style="26" min="12" max="12"/>
  </cols>
  <sheetData>
    <row r="1">
      <c r="A1" s="27" t="inlineStr">
        <is>
          <t>Control del Sprint</t>
        </is>
      </c>
      <c r="B1" s="28" t="inlineStr">
        <is>
          <t>Sprint 2: Diseño de arquitectura del sistema e integraciones (07/09/2026 al 18/09/2026)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07/09</t>
        </is>
      </c>
      <c r="D2" s="30" t="inlineStr">
        <is>
          <t>08/09</t>
        </is>
      </c>
      <c r="E2" s="30" t="inlineStr">
        <is>
          <t>09/09</t>
        </is>
      </c>
      <c r="F2" s="30" t="inlineStr">
        <is>
          <t>10/09</t>
        </is>
      </c>
      <c r="G2" s="30" t="inlineStr">
        <is>
          <t>11/09</t>
        </is>
      </c>
      <c r="H2" s="30" t="inlineStr">
        <is>
          <t>14/09</t>
        </is>
      </c>
      <c r="I2" s="30" t="inlineStr">
        <is>
          <t>15/09</t>
        </is>
      </c>
      <c r="J2" s="30" t="inlineStr">
        <is>
          <t>16/09</t>
        </is>
      </c>
      <c r="K2" s="30" t="inlineStr">
        <is>
          <t>17/09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/>
    </row>
    <row r="5">
      <c r="A5" s="32" t="inlineStr">
        <is>
          <t>E10-H11: Hosting, ambientes separados y control de versiones</t>
        </is>
      </c>
      <c r="B5" s="33" t="n">
        <v>19</v>
      </c>
      <c r="C5" s="33" t="n">
        <v>5</v>
      </c>
      <c r="D5" s="33" t="n">
        <v>5</v>
      </c>
      <c r="E5" s="33" t="n">
        <v>2</v>
      </c>
      <c r="F5" s="33" t="n">
        <v>5</v>
      </c>
      <c r="G5" s="33" t="n">
        <v>2</v>
      </c>
      <c r="H5" s="33" t="n"/>
      <c r="I5" s="33" t="n"/>
      <c r="J5" s="33" t="n"/>
      <c r="K5" s="33" t="n"/>
      <c r="L5" s="33">
        <f>SUM(C5:K5)</f>
        <v>19</v>
      </c>
    </row>
    <row r="6">
      <c r="A6" s="32" t="inlineStr">
        <is>
          <t>E8-H8: Renderizado del catálogo en el servidor</t>
        </is>
      </c>
      <c r="B6" s="33" t="n">
        <v>14</v>
      </c>
      <c r="C6" s="33" t="n"/>
      <c r="D6" s="33" t="n"/>
      <c r="E6" s="33" t="n">
        <v>1</v>
      </c>
      <c r="F6" s="33" t="n">
        <v>3</v>
      </c>
      <c r="G6" s="33" t="n">
        <v>5</v>
      </c>
      <c r="H6" s="33" t="n">
        <v>3</v>
      </c>
      <c r="I6" s="33" t="n">
        <v>2</v>
      </c>
      <c r="J6" s="33" t="n"/>
      <c r="K6" s="33" t="n"/>
      <c r="L6" s="33">
        <f>SUM(C6:K6)</f>
        <v>14</v>
      </c>
    </row>
    <row r="7">
      <c r="A7" s="32" t="inlineStr">
        <is>
          <t>E10-H4: Proteger configuración, credenciales y BD</t>
        </is>
      </c>
      <c r="B7" s="33" t="n">
        <v>9</v>
      </c>
      <c r="C7" s="33" t="n"/>
      <c r="D7" s="33" t="n"/>
      <c r="E7" s="33" t="n"/>
      <c r="F7" s="33" t="n"/>
      <c r="G7" s="33" t="n"/>
      <c r="H7" s="33" t="n">
        <v>3</v>
      </c>
      <c r="I7" s="33" t="n">
        <v>3</v>
      </c>
      <c r="J7" s="33" t="n">
        <v>3</v>
      </c>
      <c r="K7" s="33" t="n"/>
      <c r="L7" s="33">
        <f>SUM(C7:K7)</f>
        <v>9</v>
      </c>
    </row>
    <row r="8">
      <c r="A8" s="32" t="inlineStr">
        <is>
          <t>E10-H1: Conexión cifrada (HTTPS)</t>
        </is>
      </c>
      <c r="B8" s="33" t="n">
        <v>7</v>
      </c>
      <c r="C8" s="33" t="n"/>
      <c r="D8" s="33" t="n"/>
      <c r="E8" s="33" t="n"/>
      <c r="F8" s="33" t="n"/>
      <c r="G8" s="33" t="n"/>
      <c r="H8" s="33" t="n"/>
      <c r="I8" s="33" t="n">
        <v>3</v>
      </c>
      <c r="J8" s="33" t="n">
        <v>4</v>
      </c>
      <c r="K8" s="33" t="n"/>
      <c r="L8" s="33">
        <f>SUM(C8:K8)</f>
        <v>7</v>
      </c>
    </row>
    <row r="9">
      <c r="A9" s="32" t="inlineStr">
        <is>
          <t>E10-H13: Código ordenado y documentado</t>
        </is>
      </c>
      <c r="B9" s="33" t="n">
        <v>14</v>
      </c>
      <c r="C9" s="33" t="n"/>
      <c r="D9" s="33" t="n"/>
      <c r="E9" s="33" t="n"/>
      <c r="F9" s="33" t="n"/>
      <c r="G9" s="33" t="n"/>
      <c r="H9" s="33" t="n"/>
      <c r="I9" s="33" t="n"/>
      <c r="J9" s="33" t="n">
        <v>10</v>
      </c>
      <c r="K9" s="33" t="n">
        <v>4</v>
      </c>
      <c r="L9" s="33">
        <f>SUM(C9:K9)</f>
        <v>14</v>
      </c>
    </row>
    <row r="11">
      <c r="A11" s="34" t="inlineStr">
        <is>
          <t>Reales de producto por realizar</t>
        </is>
      </c>
      <c r="B11" s="35">
        <f>SUM(B5:B9)</f>
        <v>63</v>
      </c>
      <c r="C11" s="35">
        <f>B11-SUM(C5:C9)</f>
        <v>58</v>
      </c>
      <c r="D11" s="35">
        <f>C11-SUM(D5:D9)</f>
        <v>53</v>
      </c>
      <c r="E11" s="35">
        <f>D11-SUM(E5:E9)</f>
        <v>50</v>
      </c>
      <c r="F11" s="35">
        <f>E11-SUM(F5:F9)</f>
        <v>42</v>
      </c>
      <c r="G11" s="35">
        <f>F11-SUM(G5:G9)</f>
        <v>35</v>
      </c>
      <c r="H11" s="35">
        <f>G11-SUM(H5:H9)</f>
        <v>29</v>
      </c>
      <c r="I11" s="35">
        <f>H11-SUM(I5:I9)</f>
        <v>21</v>
      </c>
      <c r="J11" s="35">
        <f>I11-SUM(J5:J9)</f>
        <v>4</v>
      </c>
      <c r="K11" s="35">
        <f>J11-SUM(K5:K9)</f>
        <v>0</v>
      </c>
    </row>
    <row r="13">
      <c r="A13" s="34" t="inlineStr">
        <is>
          <t>Estimadas de producto por realizar</t>
        </is>
      </c>
      <c r="B13" s="36">
        <f>SUM(B5:B9)</f>
        <v>63</v>
      </c>
      <c r="C13" s="36">
        <f>$B$13-SUM($B$5:$B$9)*C$4/COUNT($C$4:$K$4)</f>
        <v>56</v>
      </c>
      <c r="D13" s="36">
        <f>$B$13-SUM($B$5:$B$9)*D$4/COUNT($C$4:$K$4)</f>
        <v>49</v>
      </c>
      <c r="E13" s="36">
        <f>$B$13-SUM($B$5:$B$9)*E$4/COUNT($C$4:$K$4)</f>
        <v>42</v>
      </c>
      <c r="F13" s="36">
        <f>$B$13-SUM($B$5:$B$9)*F$4/COUNT($C$4:$K$4)</f>
        <v>35</v>
      </c>
      <c r="G13" s="36">
        <f>$B$13-SUM($B$5:$B$9)*G$4/COUNT($C$4:$K$4)</f>
        <v>28</v>
      </c>
      <c r="H13" s="36">
        <f>$B$13-SUM($B$5:$B$9)*H$4/COUNT($C$4:$K$4)</f>
        <v>21</v>
      </c>
      <c r="I13" s="36">
        <f>$B$13-SUM($B$5:$B$9)*I$4/COUNT($C$4:$K$4)</f>
        <v>14</v>
      </c>
      <c r="J13" s="36">
        <f>$B$13-SUM($B$5:$B$9)*J$4/COUNT($C$4:$K$4)</f>
        <v>7</v>
      </c>
      <c r="K13" s="36">
        <f>$B$13-SUM($B$5:$B$9)*K$4/COUNT($C$4:$K$4)</f>
        <v>0</v>
      </c>
    </row>
    <row r="15">
      <c r="A15" s="37" t="inlineStr">
        <is>
          <t>Historias de usuario del Documento de Épicas e Historias de Usuario (pase el cursor sobre cada historia para ver su enunciado completo).</t>
        </is>
      </c>
    </row>
    <row r="16">
      <c r="A16" s="37" t="inlineStr">
        <is>
          <t>DIA: 9 días hábiles entre el 07/09/2026 y el 18/09/2026 (la fila Fecha indica cada día); se excluye el feriado 18/09 (Fiestas Patrias).</t>
        </is>
      </c>
    </row>
  </sheetData>
  <mergeCells count="4">
    <mergeCell ref="B3:B4"/>
    <mergeCell ref="L3:L4"/>
    <mergeCell ref="A3:A4"/>
    <mergeCell ref="C3:K3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10.71" customWidth="1" style="26" min="12" max="12"/>
  </cols>
  <sheetData>
    <row r="1">
      <c r="A1" s="27" t="inlineStr">
        <is>
          <t>Control del Sprint</t>
        </is>
      </c>
      <c r="B1" s="28" t="inlineStr">
        <is>
          <t>Sprint 3: Modelado y diseño de la base de datos relacional (14/09/2026 al 25/09/2026)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14/09</t>
        </is>
      </c>
      <c r="D2" s="30" t="inlineStr">
        <is>
          <t>15/09</t>
        </is>
      </c>
      <c r="E2" s="30" t="inlineStr">
        <is>
          <t>16/09</t>
        </is>
      </c>
      <c r="F2" s="30" t="inlineStr">
        <is>
          <t>17/09</t>
        </is>
      </c>
      <c r="G2" s="30" t="inlineStr">
        <is>
          <t>21/09</t>
        </is>
      </c>
      <c r="H2" s="30" t="inlineStr">
        <is>
          <t>22/09</t>
        </is>
      </c>
      <c r="I2" s="30" t="inlineStr">
        <is>
          <t>23/09</t>
        </is>
      </c>
      <c r="J2" s="30" t="inlineStr">
        <is>
          <t>24/09</t>
        </is>
      </c>
      <c r="K2" s="30" t="inlineStr">
        <is>
          <t>25/09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/>
    </row>
    <row r="5">
      <c r="A5" s="32" t="inlineStr">
        <is>
          <t>E10-H12: Agregar modelos y categorías sin cambiar código</t>
        </is>
      </c>
      <c r="B5" s="33" t="n">
        <v>12</v>
      </c>
      <c r="C5" s="33" t="n">
        <v>4</v>
      </c>
      <c r="D5" s="33" t="n">
        <v>2</v>
      </c>
      <c r="E5" s="33" t="n">
        <v>3</v>
      </c>
      <c r="F5" s="33" t="n">
        <v>3</v>
      </c>
      <c r="G5" s="33" t="n"/>
      <c r="H5" s="33" t="n"/>
      <c r="I5" s="33" t="n"/>
      <c r="J5" s="33" t="n"/>
      <c r="K5" s="33" t="n"/>
      <c r="L5" s="33">
        <f>SUM(C5:K5)</f>
        <v>12</v>
      </c>
    </row>
    <row r="6">
      <c r="A6" s="32" t="inlineStr">
        <is>
          <t>E3-H7: Registrar el pedido con número único</t>
        </is>
      </c>
      <c r="B6" s="33" t="n">
        <v>15</v>
      </c>
      <c r="C6" s="33" t="n"/>
      <c r="D6" s="33" t="n">
        <v>5</v>
      </c>
      <c r="E6" s="33" t="n">
        <v>3</v>
      </c>
      <c r="F6" s="33" t="n">
        <v>4</v>
      </c>
      <c r="G6" s="33" t="n">
        <v>3</v>
      </c>
      <c r="H6" s="33" t="n"/>
      <c r="I6" s="33" t="n"/>
      <c r="J6" s="33" t="n"/>
      <c r="K6" s="33" t="n"/>
      <c r="L6" s="33">
        <f>SUM(C6:K6)</f>
        <v>15</v>
      </c>
    </row>
    <row r="7">
      <c r="A7" s="32" t="inlineStr">
        <is>
          <t>E4-H4: Registrar cada intento de pago</t>
        </is>
      </c>
      <c r="B7" s="33" t="n">
        <v>15</v>
      </c>
      <c r="C7" s="33" t="n"/>
      <c r="D7" s="33" t="n"/>
      <c r="E7" s="33" t="n"/>
      <c r="F7" s="33" t="n">
        <v>2</v>
      </c>
      <c r="G7" s="33" t="n">
        <v>3</v>
      </c>
      <c r="H7" s="33" t="n">
        <v>2</v>
      </c>
      <c r="I7" s="33" t="n">
        <v>4</v>
      </c>
      <c r="J7" s="33" t="n">
        <v>4</v>
      </c>
      <c r="K7" s="33" t="n"/>
      <c r="L7" s="33">
        <f>SUM(C7:K7)</f>
        <v>15</v>
      </c>
    </row>
    <row r="8">
      <c r="A8" s="32" t="inlineStr">
        <is>
          <t>E10-H7: Auditoría de cambios en el panel</t>
        </is>
      </c>
      <c r="B8" s="33" t="n">
        <v>15</v>
      </c>
      <c r="C8" s="33" t="n"/>
      <c r="D8" s="33" t="n"/>
      <c r="E8" s="33" t="n"/>
      <c r="F8" s="33" t="n"/>
      <c r="G8" s="33" t="n"/>
      <c r="H8" s="33" t="n">
        <v>3</v>
      </c>
      <c r="I8" s="33" t="n">
        <v>3</v>
      </c>
      <c r="J8" s="33" t="n">
        <v>5</v>
      </c>
      <c r="K8" s="33" t="n">
        <v>4</v>
      </c>
      <c r="L8" s="33">
        <f>SUM(C8:K8)</f>
        <v>15</v>
      </c>
    </row>
    <row r="10">
      <c r="A10" s="34" t="inlineStr">
        <is>
          <t>Reales de producto por realizar</t>
        </is>
      </c>
      <c r="B10" s="35">
        <f>SUM(B5:B8)</f>
        <v>57</v>
      </c>
      <c r="C10" s="35">
        <f>B10-SUM(C5:C8)</f>
        <v>53</v>
      </c>
      <c r="D10" s="35">
        <f>C10-SUM(D5:D8)</f>
        <v>46</v>
      </c>
      <c r="E10" s="35">
        <f>D10-SUM(E5:E8)</f>
        <v>40</v>
      </c>
      <c r="F10" s="35">
        <f>E10-SUM(F5:F8)</f>
        <v>31</v>
      </c>
      <c r="G10" s="35">
        <f>F10-SUM(G5:G8)</f>
        <v>25</v>
      </c>
      <c r="H10" s="35">
        <f>G10-SUM(H5:H8)</f>
        <v>20</v>
      </c>
      <c r="I10" s="35">
        <f>H10-SUM(I5:I8)</f>
        <v>13</v>
      </c>
      <c r="J10" s="35">
        <f>I10-SUM(J5:J8)</f>
        <v>4</v>
      </c>
      <c r="K10" s="35">
        <f>J10-SUM(K5:K8)</f>
        <v>0</v>
      </c>
    </row>
    <row r="12">
      <c r="A12" s="34" t="inlineStr">
        <is>
          <t>Estimadas de producto por realizar</t>
        </is>
      </c>
      <c r="B12" s="36">
        <f>SUM(B5:B8)</f>
        <v>57</v>
      </c>
      <c r="C12" s="36">
        <f>$B$12-SUM($B$5:$B$8)*C$4/COUNT($C$4:$K$4)</f>
        <v>50.6666666666667</v>
      </c>
      <c r="D12" s="36">
        <f>$B$12-SUM($B$5:$B$8)*D$4/COUNT($C$4:$K$4)</f>
        <v>44.3333333333333</v>
      </c>
      <c r="E12" s="36">
        <f>$B$12-SUM($B$5:$B$8)*E$4/COUNT($C$4:$K$4)</f>
        <v>38</v>
      </c>
      <c r="F12" s="36">
        <f>$B$12-SUM($B$5:$B$8)*F$4/COUNT($C$4:$K$4)</f>
        <v>31.6666666666667</v>
      </c>
      <c r="G12" s="36">
        <f>$B$12-SUM($B$5:$B$8)*G$4/COUNT($C$4:$K$4)</f>
        <v>25.3333333333333</v>
      </c>
      <c r="H12" s="36">
        <f>$B$12-SUM($B$5:$B$8)*H$4/COUNT($C$4:$K$4)</f>
        <v>19</v>
      </c>
      <c r="I12" s="36">
        <f>$B$12-SUM($B$5:$B$8)*I$4/COUNT($C$4:$K$4)</f>
        <v>12.6666666666667</v>
      </c>
      <c r="J12" s="36">
        <f>$B$12-SUM($B$5:$B$8)*J$4/COUNT($C$4:$K$4)</f>
        <v>6.33333333333334</v>
      </c>
      <c r="K12" s="36">
        <f>$B$12-SUM($B$5:$B$8)*K$4/COUNT($C$4:$K$4)</f>
        <v>0</v>
      </c>
    </row>
    <row r="14">
      <c r="A14" s="37" t="inlineStr">
        <is>
          <t>Historias de usuario del Documento de Épicas e Historias de Usuario (pase el cursor sobre cada historia para ver su enunciado completo).</t>
        </is>
      </c>
    </row>
    <row r="15">
      <c r="A15" s="37" t="inlineStr">
        <is>
          <t>DIA: 9 días hábiles entre el 14/09/2026 y el 25/09/2026 (la fila Fecha indica cada día); se excluye el feriado 18/09 (Fiestas Patrias).</t>
        </is>
      </c>
    </row>
  </sheetData>
  <mergeCells count="4">
    <mergeCell ref="B3:B4"/>
    <mergeCell ref="L3:L4"/>
    <mergeCell ref="A3:A4"/>
    <mergeCell ref="C3:K3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6.3" customWidth="1" style="26" min="12" max="12"/>
    <col width="10.71" customWidth="1" style="26" min="13" max="13"/>
  </cols>
  <sheetData>
    <row r="1">
      <c r="A1" s="27" t="inlineStr">
        <is>
          <t>Control del Sprint</t>
        </is>
      </c>
      <c r="B1" s="28" t="inlineStr">
        <is>
          <t>Sprint 4: Diseño del flujo de conversaciones y UX/UI del bot (21/09/2026 al 02/10/2026)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21/09</t>
        </is>
      </c>
      <c r="D2" s="30" t="inlineStr">
        <is>
          <t>22/09</t>
        </is>
      </c>
      <c r="E2" s="30" t="inlineStr">
        <is>
          <t>23/09</t>
        </is>
      </c>
      <c r="F2" s="30" t="inlineStr">
        <is>
          <t>24/09</t>
        </is>
      </c>
      <c r="G2" s="30" t="inlineStr">
        <is>
          <t>25/09</t>
        </is>
      </c>
      <c r="H2" s="30" t="inlineStr">
        <is>
          <t>28/09</t>
        </is>
      </c>
      <c r="I2" s="30" t="inlineStr">
        <is>
          <t>29/09</t>
        </is>
      </c>
      <c r="J2" s="30" t="inlineStr">
        <is>
          <t>30/09</t>
        </is>
      </c>
      <c r="K2" s="30" t="inlineStr">
        <is>
          <t>01/10</t>
        </is>
      </c>
      <c r="L2" s="30" t="inlineStr">
        <is>
          <t>02/10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/>
    </row>
    <row r="5">
      <c r="A5" s="32" t="inlineStr">
        <is>
          <t>E9-H4: Identidad visual consistente</t>
        </is>
      </c>
      <c r="B5" s="33" t="n">
        <v>10</v>
      </c>
      <c r="C5" s="33" t="n">
        <v>1</v>
      </c>
      <c r="D5" s="33" t="n">
        <v>5</v>
      </c>
      <c r="E5" s="33" t="n">
        <v>4</v>
      </c>
      <c r="F5" s="33" t="n"/>
      <c r="G5" s="33" t="n"/>
      <c r="H5" s="33" t="n"/>
      <c r="I5" s="33" t="n"/>
      <c r="J5" s="33" t="n"/>
      <c r="K5" s="33" t="n"/>
      <c r="L5" s="33" t="n"/>
      <c r="M5" s="33">
        <f>SUM(C5:L5)</f>
        <v>10</v>
      </c>
    </row>
    <row r="6">
      <c r="A6" s="32" t="inlineStr">
        <is>
          <t>E5-H1: Chat flotante en todas las páginas</t>
        </is>
      </c>
      <c r="B6" s="33" t="n">
        <v>13</v>
      </c>
      <c r="C6" s="33" t="n"/>
      <c r="D6" s="33" t="n">
        <v>3</v>
      </c>
      <c r="E6" s="33" t="n">
        <v>5</v>
      </c>
      <c r="F6" s="33" t="n">
        <v>2</v>
      </c>
      <c r="G6" s="33" t="n">
        <v>3</v>
      </c>
      <c r="H6" s="33" t="n"/>
      <c r="I6" s="33" t="n"/>
      <c r="J6" s="33" t="n"/>
      <c r="K6" s="33" t="n"/>
      <c r="L6" s="33" t="n"/>
      <c r="M6" s="33">
        <f>SUM(C6:L6)</f>
        <v>13</v>
      </c>
    </row>
    <row r="7">
      <c r="A7" s="32" t="inlineStr">
        <is>
          <t>E5-H4: Preguntar modelo y año del vehículo</t>
        </is>
      </c>
      <c r="B7" s="33" t="n">
        <v>10</v>
      </c>
      <c r="C7" s="33" t="n"/>
      <c r="D7" s="33" t="n"/>
      <c r="E7" s="33" t="n"/>
      <c r="F7" s="33" t="n">
        <v>3</v>
      </c>
      <c r="G7" s="33" t="n">
        <v>2</v>
      </c>
      <c r="H7" s="33" t="n">
        <v>5</v>
      </c>
      <c r="I7" s="33" t="n"/>
      <c r="J7" s="33" t="n"/>
      <c r="K7" s="33" t="n"/>
      <c r="L7" s="33" t="n"/>
      <c r="M7" s="33">
        <f>SUM(C7:L7)</f>
        <v>10</v>
      </c>
    </row>
    <row r="8">
      <c r="A8" s="32" t="inlineStr">
        <is>
          <t>E5-H9: Responder horarios, despacho, pagos y garantía</t>
        </is>
      </c>
      <c r="B8" s="33" t="n">
        <v>10</v>
      </c>
      <c r="C8" s="33" t="n"/>
      <c r="D8" s="33" t="n"/>
      <c r="E8" s="33" t="n"/>
      <c r="F8" s="33" t="n"/>
      <c r="G8" s="33" t="n">
        <v>4</v>
      </c>
      <c r="H8" s="33" t="n">
        <v>3</v>
      </c>
      <c r="I8" s="33" t="n">
        <v>3</v>
      </c>
      <c r="J8" s="33" t="n"/>
      <c r="K8" s="33" t="n"/>
      <c r="L8" s="33" t="n"/>
      <c r="M8" s="33">
        <f>SUM(C8:L8)</f>
        <v>10</v>
      </c>
    </row>
    <row r="9">
      <c r="A9" s="32" t="inlineStr">
        <is>
          <t>E9-H2: Sitio adaptable a celular, tablet y PC</t>
        </is>
      </c>
      <c r="B9" s="33" t="n">
        <v>16</v>
      </c>
      <c r="C9" s="33" t="n"/>
      <c r="D9" s="33" t="n"/>
      <c r="E9" s="33" t="n"/>
      <c r="F9" s="33" t="n"/>
      <c r="G9" s="33" t="n"/>
      <c r="H9" s="33" t="n">
        <v>8</v>
      </c>
      <c r="I9" s="33" t="n">
        <v>3</v>
      </c>
      <c r="J9" s="33" t="n">
        <v>3</v>
      </c>
      <c r="K9" s="33" t="n">
        <v>2</v>
      </c>
      <c r="L9" s="33" t="n"/>
      <c r="M9" s="33">
        <f>SUM(C9:L9)</f>
        <v>16</v>
      </c>
    </row>
    <row r="10">
      <c r="A10" s="32" t="inlineStr">
        <is>
          <t>E9-H3: Chat adaptado a pantallas móviles</t>
        </is>
      </c>
      <c r="B10" s="33" t="n">
        <v>8</v>
      </c>
      <c r="C10" s="33" t="n"/>
      <c r="D10" s="33" t="n"/>
      <c r="E10" s="33" t="n"/>
      <c r="F10" s="33" t="n"/>
      <c r="G10" s="33" t="n"/>
      <c r="H10" s="33" t="n"/>
      <c r="I10" s="33" t="n"/>
      <c r="J10" s="33" t="n">
        <v>2</v>
      </c>
      <c r="K10" s="33" t="n">
        <v>3</v>
      </c>
      <c r="L10" s="33" t="n">
        <v>3</v>
      </c>
      <c r="M10" s="33">
        <f>SUM(C10:L10)</f>
        <v>8</v>
      </c>
    </row>
    <row r="11">
      <c r="A11" s="32" t="inlineStr">
        <is>
          <t>E9-H6: Compra en pocos pasos con errores claros</t>
        </is>
      </c>
      <c r="B11" s="33" t="n">
        <v>8</v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>
        <v>4</v>
      </c>
      <c r="L11" s="33" t="n">
        <v>4</v>
      </c>
      <c r="M11" s="33">
        <f>SUM(C11:L11)</f>
        <v>8</v>
      </c>
    </row>
    <row r="12">
      <c r="A12" s="32" t="inlineStr">
        <is>
          <t>E9-H7: Mensajes de carga, éxito y error</t>
        </is>
      </c>
      <c r="B12" s="33" t="n">
        <v>7</v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>
        <v>7</v>
      </c>
      <c r="M12" s="33">
        <f>SUM(C12:L12)</f>
        <v>7</v>
      </c>
    </row>
    <row r="14">
      <c r="A14" s="34" t="inlineStr">
        <is>
          <t>Reales de producto por realizar</t>
        </is>
      </c>
      <c r="B14" s="35">
        <f>SUM(B5:B12)</f>
        <v>82</v>
      </c>
      <c r="C14" s="35">
        <f>B14-SUM(C5:C12)</f>
        <v>81</v>
      </c>
      <c r="D14" s="35">
        <f>C14-SUM(D5:D12)</f>
        <v>73</v>
      </c>
      <c r="E14" s="35">
        <f>D14-SUM(E5:E12)</f>
        <v>64</v>
      </c>
      <c r="F14" s="35">
        <f>E14-SUM(F5:F12)</f>
        <v>59</v>
      </c>
      <c r="G14" s="35">
        <f>F14-SUM(G5:G12)</f>
        <v>50</v>
      </c>
      <c r="H14" s="35">
        <f>G14-SUM(H5:H12)</f>
        <v>34</v>
      </c>
      <c r="I14" s="35">
        <f>H14-SUM(I5:I12)</f>
        <v>28</v>
      </c>
      <c r="J14" s="35">
        <f>I14-SUM(J5:J12)</f>
        <v>23</v>
      </c>
      <c r="K14" s="35">
        <f>J14-SUM(K5:K12)</f>
        <v>14</v>
      </c>
      <c r="L14" s="35">
        <f>K14-SUM(L5:L12)</f>
        <v>0</v>
      </c>
    </row>
    <row r="16">
      <c r="A16" s="34" t="inlineStr">
        <is>
          <t>Estimadas de producto por realizar</t>
        </is>
      </c>
      <c r="B16" s="36">
        <f>SUM(B5:B12)</f>
        <v>82</v>
      </c>
      <c r="C16" s="36">
        <f>$B$16-SUM($B$5:$B$12)*C$4/COUNT($C$4:$L$4)</f>
        <v>73.8</v>
      </c>
      <c r="D16" s="36">
        <f>$B$16-SUM($B$5:$B$12)*D$4/COUNT($C$4:$L$4)</f>
        <v>65.6</v>
      </c>
      <c r="E16" s="36">
        <f>$B$16-SUM($B$5:$B$12)*E$4/COUNT($C$4:$L$4)</f>
        <v>57.4</v>
      </c>
      <c r="F16" s="36">
        <f>$B$16-SUM($B$5:$B$12)*F$4/COUNT($C$4:$L$4)</f>
        <v>49.2</v>
      </c>
      <c r="G16" s="36">
        <f>$B$16-SUM($B$5:$B$12)*G$4/COUNT($C$4:$L$4)</f>
        <v>41</v>
      </c>
      <c r="H16" s="36">
        <f>$B$16-SUM($B$5:$B$12)*H$4/COUNT($C$4:$L$4)</f>
        <v>32.8</v>
      </c>
      <c r="I16" s="36">
        <f>$B$16-SUM($B$5:$B$12)*I$4/COUNT($C$4:$L$4)</f>
        <v>24.6</v>
      </c>
      <c r="J16" s="36">
        <f>$B$16-SUM($B$5:$B$12)*J$4/COUNT($C$4:$L$4)</f>
        <v>16.4</v>
      </c>
      <c r="K16" s="36">
        <f>$B$16-SUM($B$5:$B$12)*K$4/COUNT($C$4:$L$4)</f>
        <v>8.2</v>
      </c>
      <c r="L16" s="36">
        <f>$B$16-SUM($B$5:$B$12)*L$4/COUNT($C$4:$L$4)</f>
        <v>0</v>
      </c>
    </row>
    <row r="18">
      <c r="A18" s="37" t="inlineStr">
        <is>
          <t>Historias de usuario del Documento de Épicas e Historias de Usuario (pase el cursor sobre cada historia para ver su enunciado completo).</t>
        </is>
      </c>
    </row>
    <row r="19">
      <c r="A19" s="37" t="inlineStr">
        <is>
          <t>DIA: 10 días hábiles entre el 21/09/2026 y el 02/10/2026 (la fila Fecha indica cada día).</t>
        </is>
      </c>
    </row>
  </sheetData>
  <mergeCells count="4">
    <mergeCell ref="B3:B4"/>
    <mergeCell ref="A3:A4"/>
    <mergeCell ref="C3:L3"/>
    <mergeCell ref="M3:M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6.3" customWidth="1" style="26" min="12" max="12"/>
    <col width="6.3" customWidth="1" style="26" min="13" max="13"/>
    <col width="6.3" customWidth="1" style="26" min="14" max="14"/>
    <col width="6.3" customWidth="1" style="26" min="15" max="15"/>
    <col width="6.3" customWidth="1" style="26" min="16" max="16"/>
    <col width="6.3" customWidth="1" style="26" min="17" max="17"/>
    <col width="6.3" customWidth="1" style="26" min="18" max="18"/>
    <col width="6.3" customWidth="1" style="26" min="19" max="19"/>
    <col width="6.3" customWidth="1" style="26" min="20" max="20"/>
    <col width="6.3" customWidth="1" style="26" min="21" max="21"/>
    <col width="10.71" customWidth="1" style="26" min="22" max="22"/>
  </cols>
  <sheetData>
    <row r="1">
      <c r="A1" s="27" t="inlineStr">
        <is>
          <t>Control del Sprint</t>
        </is>
      </c>
      <c r="B1" s="28" t="inlineStr">
        <is>
          <t>Sprint 5: Implementación de BBDD y desarrollo backend API (28/09/2026 al 23/10/2026)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28/09</t>
        </is>
      </c>
      <c r="D2" s="30" t="inlineStr">
        <is>
          <t>29/09</t>
        </is>
      </c>
      <c r="E2" s="30" t="inlineStr">
        <is>
          <t>30/09</t>
        </is>
      </c>
      <c r="F2" s="30" t="inlineStr">
        <is>
          <t>01/10</t>
        </is>
      </c>
      <c r="G2" s="30" t="inlineStr">
        <is>
          <t>02/10</t>
        </is>
      </c>
      <c r="H2" s="30" t="inlineStr">
        <is>
          <t>05/10</t>
        </is>
      </c>
      <c r="I2" s="30" t="inlineStr">
        <is>
          <t>06/10</t>
        </is>
      </c>
      <c r="J2" s="30" t="inlineStr">
        <is>
          <t>07/10</t>
        </is>
      </c>
      <c r="K2" s="30" t="inlineStr">
        <is>
          <t>08/10</t>
        </is>
      </c>
      <c r="L2" s="30" t="inlineStr">
        <is>
          <t>09/10</t>
        </is>
      </c>
      <c r="M2" s="30" t="inlineStr">
        <is>
          <t>13/10</t>
        </is>
      </c>
      <c r="N2" s="30" t="inlineStr">
        <is>
          <t>14/10</t>
        </is>
      </c>
      <c r="O2" s="30" t="inlineStr">
        <is>
          <t>15/10</t>
        </is>
      </c>
      <c r="P2" s="30" t="inlineStr">
        <is>
          <t>16/10</t>
        </is>
      </c>
      <c r="Q2" s="30" t="inlineStr">
        <is>
          <t>19/10</t>
        </is>
      </c>
      <c r="R2" s="30" t="inlineStr">
        <is>
          <t>20/10</t>
        </is>
      </c>
      <c r="S2" s="30" t="inlineStr">
        <is>
          <t>21/10</t>
        </is>
      </c>
      <c r="T2" s="30" t="inlineStr">
        <is>
          <t>22/10</t>
        </is>
      </c>
      <c r="U2" s="30" t="inlineStr">
        <is>
          <t>23/10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>
        <v>11</v>
      </c>
      <c r="N4" s="31" t="n">
        <v>12</v>
      </c>
      <c r="O4" s="31" t="n">
        <v>13</v>
      </c>
      <c r="P4" s="31" t="n">
        <v>14</v>
      </c>
      <c r="Q4" s="31" t="n">
        <v>15</v>
      </c>
      <c r="R4" s="31" t="n">
        <v>16</v>
      </c>
      <c r="S4" s="31" t="n">
        <v>17</v>
      </c>
      <c r="T4" s="31" t="n">
        <v>18</v>
      </c>
      <c r="U4" s="31" t="n">
        <v>19</v>
      </c>
      <c r="V4" s="31" t="n"/>
    </row>
    <row r="5">
      <c r="A5" s="32" t="inlineStr">
        <is>
          <t>E1-H1: Iniciar sesión en el panel de administración</t>
        </is>
      </c>
      <c r="B5" s="33" t="n">
        <v>13</v>
      </c>
      <c r="C5" s="33" t="n">
        <v>4</v>
      </c>
      <c r="D5" s="33" t="n">
        <v>4</v>
      </c>
      <c r="E5" s="33" t="n">
        <v>5</v>
      </c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>
        <f>SUM(C5:U5)</f>
        <v>13</v>
      </c>
    </row>
    <row r="6">
      <c r="A6" s="32" t="inlineStr">
        <is>
          <t>E1-H2: Cerrar sesión desde cualquier vista del panel</t>
        </is>
      </c>
      <c r="B6" s="33" t="n">
        <v>3</v>
      </c>
      <c r="C6" s="33" t="n"/>
      <c r="D6" s="33" t="n">
        <v>2</v>
      </c>
      <c r="E6" s="33" t="n">
        <v>1</v>
      </c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>
        <f>SUM(C6:U6)</f>
        <v>3</v>
      </c>
    </row>
    <row r="7">
      <c r="A7" s="32" t="inlineStr">
        <is>
          <t>E1-H3: Exigir sesión activa en todas las páginas del panel</t>
        </is>
      </c>
      <c r="B7" s="33" t="n">
        <v>4</v>
      </c>
      <c r="C7" s="33" t="n"/>
      <c r="D7" s="33" t="n">
        <v>2</v>
      </c>
      <c r="E7" s="33" t="n">
        <v>1</v>
      </c>
      <c r="F7" s="33" t="n">
        <v>1</v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>
        <f>SUM(C7:U7)</f>
        <v>4</v>
      </c>
    </row>
    <row r="8">
      <c r="A8" s="32" t="inlineStr">
        <is>
          <t>E1-H5: Restablecer contraseña por correo</t>
        </is>
      </c>
      <c r="B8" s="33" t="n">
        <v>9</v>
      </c>
      <c r="C8" s="33" t="n"/>
      <c r="D8" s="33" t="n"/>
      <c r="E8" s="33" t="n">
        <v>4</v>
      </c>
      <c r="F8" s="33" t="n">
        <v>3</v>
      </c>
      <c r="G8" s="33" t="n">
        <v>2</v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>
        <f>SUM(C8:U8)</f>
        <v>9</v>
      </c>
    </row>
    <row r="9">
      <c r="A9" s="32" t="inlineStr">
        <is>
          <t>E6-H1: Crear, editar, desactivar y eliminar productos</t>
        </is>
      </c>
      <c r="B9" s="33" t="n">
        <v>13</v>
      </c>
      <c r="C9" s="33" t="n"/>
      <c r="D9" s="33" t="n"/>
      <c r="E9" s="33" t="n"/>
      <c r="F9" s="33" t="n">
        <v>5</v>
      </c>
      <c r="G9" s="33" t="n">
        <v>8</v>
      </c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>
        <f>SUM(C9:U9)</f>
        <v>13</v>
      </c>
    </row>
    <row r="10">
      <c r="A10" s="32" t="inlineStr">
        <is>
          <t>E6-H2: Subir imágenes de productos</t>
        </is>
      </c>
      <c r="B10" s="33" t="n">
        <v>6</v>
      </c>
      <c r="C10" s="33" t="n"/>
      <c r="D10" s="33" t="n"/>
      <c r="E10" s="33" t="n"/>
      <c r="F10" s="33" t="n"/>
      <c r="G10" s="33" t="n">
        <v>2</v>
      </c>
      <c r="H10" s="33" t="n">
        <v>4</v>
      </c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>
        <f>SUM(C10:U10)</f>
        <v>6</v>
      </c>
    </row>
    <row r="11">
      <c r="A11" s="32" t="inlineStr">
        <is>
          <t>E6-H3: Editar stock y precio desde el listado</t>
        </is>
      </c>
      <c r="B11" s="33" t="n">
        <v>5</v>
      </c>
      <c r="C11" s="33" t="n"/>
      <c r="D11" s="33" t="n"/>
      <c r="E11" s="33" t="n"/>
      <c r="F11" s="33" t="n"/>
      <c r="G11" s="33" t="n"/>
      <c r="H11" s="33" t="n">
        <v>5</v>
      </c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>
        <f>SUM(C11:U11)</f>
        <v>5</v>
      </c>
    </row>
    <row r="12">
      <c r="A12" s="32" t="inlineStr">
        <is>
          <t>E2-H1: Listado de repuestos con imagen, precio y stock</t>
        </is>
      </c>
      <c r="B12" s="33" t="n">
        <v>11</v>
      </c>
      <c r="C12" s="33" t="n"/>
      <c r="D12" s="33" t="n"/>
      <c r="E12" s="33" t="n"/>
      <c r="F12" s="33" t="n"/>
      <c r="G12" s="33" t="n"/>
      <c r="H12" s="33" t="n">
        <v>4</v>
      </c>
      <c r="I12" s="33" t="n">
        <v>7</v>
      </c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>
        <f>SUM(C12:U12)</f>
        <v>11</v>
      </c>
    </row>
    <row r="13">
      <c r="A13" s="32" t="inlineStr">
        <is>
          <t>E2-H6: Indicador de disponibilidad de stock</t>
        </is>
      </c>
      <c r="B13" s="33" t="n">
        <v>4</v>
      </c>
      <c r="C13" s="33" t="n"/>
      <c r="D13" s="33" t="n"/>
      <c r="E13" s="33" t="n"/>
      <c r="F13" s="33" t="n"/>
      <c r="G13" s="33" t="n"/>
      <c r="H13" s="33" t="n"/>
      <c r="I13" s="33" t="n">
        <v>1</v>
      </c>
      <c r="J13" s="33" t="n">
        <v>2</v>
      </c>
      <c r="K13" s="33" t="n">
        <v>1</v>
      </c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>
        <f>SUM(C13:U13)</f>
        <v>4</v>
      </c>
    </row>
    <row r="14">
      <c r="A14" s="32" t="inlineStr">
        <is>
          <t>E2-H3: Buscar repuestos por nombre, código u OEM</t>
        </is>
      </c>
      <c r="B14" s="33" t="n">
        <v>11</v>
      </c>
      <c r="C14" s="33" t="n"/>
      <c r="D14" s="33" t="n"/>
      <c r="E14" s="33" t="n"/>
      <c r="F14" s="33" t="n"/>
      <c r="G14" s="33" t="n"/>
      <c r="H14" s="33" t="n"/>
      <c r="I14" s="33" t="n"/>
      <c r="J14" s="33" t="n">
        <v>8</v>
      </c>
      <c r="K14" s="33" t="n">
        <v>3</v>
      </c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>
        <f>SUM(C14:U14)</f>
        <v>11</v>
      </c>
    </row>
    <row r="15">
      <c r="A15" s="32" t="inlineStr">
        <is>
          <t>E2-H5: Ficha de producto con detalle completo</t>
        </is>
      </c>
      <c r="B15" s="33" t="n">
        <v>9</v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>
        <v>3</v>
      </c>
      <c r="L15" s="33" t="n">
        <v>3</v>
      </c>
      <c r="M15" s="33" t="n">
        <v>3</v>
      </c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>
        <f>SUM(C15:U15)</f>
        <v>9</v>
      </c>
    </row>
    <row r="16">
      <c r="A16" s="32" t="inlineStr">
        <is>
          <t>E1-H4: Comprar como invitado sin crear cuenta</t>
        </is>
      </c>
      <c r="B16" s="33" t="n">
        <v>4</v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>
        <v>3</v>
      </c>
      <c r="M16" s="33" t="n">
        <v>1</v>
      </c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>
        <f>SUM(C16:U16)</f>
        <v>4</v>
      </c>
    </row>
    <row r="17">
      <c r="A17" s="32" t="inlineStr">
        <is>
          <t>E3-H1: Agregar productos al carrito</t>
        </is>
      </c>
      <c r="B17" s="33" t="n">
        <v>6</v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>
        <v>3</v>
      </c>
      <c r="M17" s="33" t="n">
        <v>3</v>
      </c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>
        <f>SUM(C17:U17)</f>
        <v>6</v>
      </c>
    </row>
    <row r="18">
      <c r="A18" s="32" t="inlineStr">
        <is>
          <t>E3-H2: Ver y modificar el carrito</t>
        </is>
      </c>
      <c r="B18" s="33" t="n">
        <v>6</v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>
        <v>2</v>
      </c>
      <c r="M18" s="33" t="n">
        <v>2</v>
      </c>
      <c r="N18" s="33" t="n">
        <v>2</v>
      </c>
      <c r="O18" s="33" t="n"/>
      <c r="P18" s="33" t="n"/>
      <c r="Q18" s="33" t="n"/>
      <c r="R18" s="33" t="n"/>
      <c r="S18" s="33" t="n"/>
      <c r="T18" s="33" t="n"/>
      <c r="U18" s="33" t="n"/>
      <c r="V18" s="33">
        <f>SUM(C18:U18)</f>
        <v>6</v>
      </c>
    </row>
    <row r="19">
      <c r="A19" s="32" t="inlineStr">
        <is>
          <t>E3-H3: Ingresar datos del comprador en el checkout</t>
        </is>
      </c>
      <c r="B19" s="33" t="n">
        <v>9</v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>
        <v>4</v>
      </c>
      <c r="N19" s="33" t="n">
        <v>4</v>
      </c>
      <c r="O19" s="33" t="n">
        <v>1</v>
      </c>
      <c r="P19" s="33" t="n"/>
      <c r="Q19" s="33" t="n"/>
      <c r="R19" s="33" t="n"/>
      <c r="S19" s="33" t="n"/>
      <c r="T19" s="33" t="n"/>
      <c r="U19" s="33" t="n"/>
      <c r="V19" s="33">
        <f>SUM(C19:U19)</f>
        <v>9</v>
      </c>
    </row>
    <row r="20">
      <c r="A20" s="32" t="inlineStr">
        <is>
          <t>E3-H4: Elegir retiro en tienda o despacho</t>
        </is>
      </c>
      <c r="B20" s="33" t="n">
        <v>9</v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>
        <v>3</v>
      </c>
      <c r="O20" s="33" t="n">
        <v>6</v>
      </c>
      <c r="P20" s="33" t="n"/>
      <c r="Q20" s="33" t="n"/>
      <c r="R20" s="33" t="n"/>
      <c r="S20" s="33" t="n"/>
      <c r="T20" s="33" t="n"/>
      <c r="U20" s="33" t="n"/>
      <c r="V20" s="33">
        <f>SUM(C20:U20)</f>
        <v>9</v>
      </c>
    </row>
    <row r="21">
      <c r="A21" s="32" t="inlineStr">
        <is>
          <t>E3-H5: Resumen del pedido antes de pagar</t>
        </is>
      </c>
      <c r="B21" s="33" t="n">
        <v>5</v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>
        <v>2</v>
      </c>
      <c r="P21" s="33" t="n">
        <v>3</v>
      </c>
      <c r="Q21" s="33" t="n"/>
      <c r="R21" s="33" t="n"/>
      <c r="S21" s="33" t="n"/>
      <c r="T21" s="33" t="n"/>
      <c r="U21" s="33" t="n"/>
      <c r="V21" s="33">
        <f>SUM(C21:U21)</f>
        <v>5</v>
      </c>
    </row>
    <row r="22">
      <c r="A22" s="32" t="inlineStr">
        <is>
          <t>E3-H6: Recalcular precios y validar stock en el servidor</t>
        </is>
      </c>
      <c r="B22" s="33" t="n">
        <v>8</v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>
        <v>1</v>
      </c>
      <c r="O22" s="33" t="n">
        <v>3</v>
      </c>
      <c r="P22" s="33" t="n">
        <v>1</v>
      </c>
      <c r="Q22" s="33" t="n">
        <v>3</v>
      </c>
      <c r="R22" s="33" t="n"/>
      <c r="S22" s="33" t="n"/>
      <c r="T22" s="33" t="n"/>
      <c r="U22" s="33" t="n"/>
      <c r="V22" s="33">
        <f>SUM(C22:U22)</f>
        <v>8</v>
      </c>
    </row>
    <row r="23">
      <c r="A23" s="32" t="inlineStr">
        <is>
          <t>E4-H1: Pagar en línea con Mercado Pago</t>
        </is>
      </c>
      <c r="B23" s="33" t="n">
        <v>15</v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>
        <v>3</v>
      </c>
      <c r="P23" s="33" t="n">
        <v>5</v>
      </c>
      <c r="Q23" s="33" t="n">
        <v>7</v>
      </c>
      <c r="R23" s="33" t="n"/>
      <c r="S23" s="33" t="n"/>
      <c r="T23" s="33" t="n"/>
      <c r="U23" s="33" t="n"/>
      <c r="V23" s="33">
        <f>SUM(C23:U23)</f>
        <v>15</v>
      </c>
    </row>
    <row r="24">
      <c r="A24" s="32" t="inlineStr">
        <is>
          <t>E4-H2: Recibir y verificar notificaciones de pago</t>
        </is>
      </c>
      <c r="B24" s="33" t="n">
        <v>13</v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>
        <v>3</v>
      </c>
      <c r="R24" s="33" t="n">
        <v>5</v>
      </c>
      <c r="S24" s="33" t="n">
        <v>5</v>
      </c>
      <c r="T24" s="33" t="n"/>
      <c r="U24" s="33" t="n"/>
      <c r="V24" s="33">
        <f>SUM(C24:U24)</f>
        <v>13</v>
      </c>
    </row>
    <row r="25">
      <c r="A25" s="32" t="inlineStr">
        <is>
          <t>E4-H3: Actualizar pedido y stock según el pago</t>
        </is>
      </c>
      <c r="B25" s="33" t="n">
        <v>8</v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>
        <v>2</v>
      </c>
      <c r="S25" s="33" t="n">
        <v>6</v>
      </c>
      <c r="T25" s="33" t="n"/>
      <c r="U25" s="33" t="n"/>
      <c r="V25" s="33">
        <f>SUM(C25:U25)</f>
        <v>8</v>
      </c>
    </row>
    <row r="26">
      <c r="A26" s="32" t="inlineStr">
        <is>
          <t>E6-H4: Gestionar pedidos y sus estados</t>
        </is>
      </c>
      <c r="B26" s="33" t="n">
        <v>11</v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>
        <v>1</v>
      </c>
      <c r="S26" s="33" t="n">
        <v>3</v>
      </c>
      <c r="T26" s="33" t="n">
        <v>3</v>
      </c>
      <c r="U26" s="33" t="n">
        <v>4</v>
      </c>
      <c r="V26" s="33">
        <f>SUM(C26:U26)</f>
        <v>11</v>
      </c>
    </row>
    <row r="27">
      <c r="A27" s="32" t="inlineStr">
        <is>
          <t>E10-H5: Validar y almacenar archivos subidos</t>
        </is>
      </c>
      <c r="B27" s="33" t="n">
        <v>5</v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>
        <v>2</v>
      </c>
      <c r="T27" s="33" t="n">
        <v>3</v>
      </c>
      <c r="U27" s="33" t="n"/>
      <c r="V27" s="33">
        <f>SUM(C27:U27)</f>
        <v>5</v>
      </c>
    </row>
    <row r="28">
      <c r="A28" s="32" t="inlineStr">
        <is>
          <t>E10-H2: Protección contra inyección SQL, XSS y CSRF</t>
        </is>
      </c>
      <c r="B28" s="33" t="n">
        <v>13</v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>
        <v>6</v>
      </c>
      <c r="U28" s="33" t="n">
        <v>7</v>
      </c>
      <c r="V28" s="33">
        <f>SUM(C28:U28)</f>
        <v>13</v>
      </c>
    </row>
    <row r="30">
      <c r="A30" s="34" t="inlineStr">
        <is>
          <t>Reales de producto por realizar</t>
        </is>
      </c>
      <c r="B30" s="35">
        <f>SUM(B5:B28)</f>
        <v>200</v>
      </c>
      <c r="C30" s="35">
        <f>B30-SUM(C5:C28)</f>
        <v>196</v>
      </c>
      <c r="D30" s="35">
        <f>C30-SUM(D5:D28)</f>
        <v>188</v>
      </c>
      <c r="E30" s="35">
        <f>D30-SUM(E5:E28)</f>
        <v>177</v>
      </c>
      <c r="F30" s="35">
        <f>E30-SUM(F5:F28)</f>
        <v>168</v>
      </c>
      <c r="G30" s="35">
        <f>F30-SUM(G5:G28)</f>
        <v>156</v>
      </c>
      <c r="H30" s="35">
        <f>G30-SUM(H5:H28)</f>
        <v>143</v>
      </c>
      <c r="I30" s="35">
        <f>H30-SUM(I5:I28)</f>
        <v>135</v>
      </c>
      <c r="J30" s="35">
        <f>I30-SUM(J5:J28)</f>
        <v>125</v>
      </c>
      <c r="K30" s="35">
        <f>J30-SUM(K5:K28)</f>
        <v>118</v>
      </c>
      <c r="L30" s="35">
        <f>K30-SUM(L5:L28)</f>
        <v>107</v>
      </c>
      <c r="M30" s="35">
        <f>L30-SUM(M5:M28)</f>
        <v>94</v>
      </c>
      <c r="N30" s="35">
        <f>M30-SUM(N5:N28)</f>
        <v>84</v>
      </c>
      <c r="O30" s="35">
        <f>N30-SUM(O5:O28)</f>
        <v>69</v>
      </c>
      <c r="P30" s="35">
        <f>O30-SUM(P5:P28)</f>
        <v>60</v>
      </c>
      <c r="Q30" s="35">
        <f>P30-SUM(Q5:Q28)</f>
        <v>47</v>
      </c>
      <c r="R30" s="35">
        <f>Q30-SUM(R5:R28)</f>
        <v>39</v>
      </c>
      <c r="S30" s="35">
        <f>R30-SUM(S5:S28)</f>
        <v>23</v>
      </c>
      <c r="T30" s="35">
        <f>S30-SUM(T5:T28)</f>
        <v>11</v>
      </c>
      <c r="U30" s="35">
        <f>T30-SUM(U5:U28)</f>
        <v>0</v>
      </c>
    </row>
    <row r="32">
      <c r="A32" s="34" t="inlineStr">
        <is>
          <t>Estimadas de producto por realizar</t>
        </is>
      </c>
      <c r="B32" s="36">
        <f>SUM(B5:B28)</f>
        <v>200</v>
      </c>
      <c r="C32" s="36">
        <f>$B$32-SUM($B$5:$B$28)*C$4/COUNT($C$4:$U$4)</f>
        <v>189.473684210526</v>
      </c>
      <c r="D32" s="36">
        <f>$B$32-SUM($B$5:$B$28)*D$4/COUNT($C$4:$U$4)</f>
        <v>178.947368421053</v>
      </c>
      <c r="E32" s="36">
        <f>$B$32-SUM($B$5:$B$28)*E$4/COUNT($C$4:$U$4)</f>
        <v>168.421052631579</v>
      </c>
      <c r="F32" s="36">
        <f>$B$32-SUM($B$5:$B$28)*F$4/COUNT($C$4:$U$4)</f>
        <v>157.894736842105</v>
      </c>
      <c r="G32" s="36">
        <f>$B$32-SUM($B$5:$B$28)*G$4/COUNT($C$4:$U$4)</f>
        <v>147.368421052632</v>
      </c>
      <c r="H32" s="36">
        <f>$B$32-SUM($B$5:$B$28)*H$4/COUNT($C$4:$U$4)</f>
        <v>136.842105263158</v>
      </c>
      <c r="I32" s="36">
        <f>$B$32-SUM($B$5:$B$28)*I$4/COUNT($C$4:$U$4)</f>
        <v>126.315789473684</v>
      </c>
      <c r="J32" s="36">
        <f>$B$32-SUM($B$5:$B$28)*J$4/COUNT($C$4:$U$4)</f>
        <v>115.789473684211</v>
      </c>
      <c r="K32" s="36">
        <f>$B$32-SUM($B$5:$B$28)*K$4/COUNT($C$4:$U$4)</f>
        <v>105.263157894737</v>
      </c>
      <c r="L32" s="36">
        <f>$B$32-SUM($B$5:$B$28)*L$4/COUNT($C$4:$U$4)</f>
        <v>94.7368421052632</v>
      </c>
      <c r="M32" s="36">
        <f>$B$32-SUM($B$5:$B$28)*M$4/COUNT($C$4:$U$4)</f>
        <v>84.2105263157895</v>
      </c>
      <c r="N32" s="36">
        <f>$B$32-SUM($B$5:$B$28)*N$4/COUNT($C$4:$U$4)</f>
        <v>73.6842105263158</v>
      </c>
      <c r="O32" s="36">
        <f>$B$32-SUM($B$5:$B$28)*O$4/COUNT($C$4:$U$4)</f>
        <v>63.1578947368421</v>
      </c>
      <c r="P32" s="36">
        <f>$B$32-SUM($B$5:$B$28)*P$4/COUNT($C$4:$U$4)</f>
        <v>52.6315789473684</v>
      </c>
      <c r="Q32" s="36">
        <f>$B$32-SUM($B$5:$B$28)*Q$4/COUNT($C$4:$U$4)</f>
        <v>42.1052631578947</v>
      </c>
      <c r="R32" s="36">
        <f>$B$32-SUM($B$5:$B$28)*R$4/COUNT($C$4:$U$4)</f>
        <v>31.578947368421</v>
      </c>
      <c r="S32" s="36">
        <f>$B$32-SUM($B$5:$B$28)*S$4/COUNT($C$4:$U$4)</f>
        <v>21.0526315789474</v>
      </c>
      <c r="T32" s="36">
        <f>$B$32-SUM($B$5:$B$28)*T$4/COUNT($C$4:$U$4)</f>
        <v>10.5263157894737</v>
      </c>
      <c r="U32" s="36">
        <f>$B$32-SUM($B$5:$B$28)*U$4/COUNT($C$4:$U$4)</f>
        <v>0</v>
      </c>
    </row>
    <row r="34">
      <c r="A34" s="37" t="inlineStr">
        <is>
          <t>Historias de usuario del Documento de Épicas e Historias de Usuario (pase el cursor sobre cada historia para ver su enunciado completo).</t>
        </is>
      </c>
    </row>
    <row r="35">
      <c r="A35" s="37" t="inlineStr">
        <is>
          <t>DIA: 19 días hábiles entre el 28/09/2026 y el 23/10/2026 (la fila Fecha indica cada día); se excluye el feriado 12/10 (Encuentro de Dos Mundos).</t>
        </is>
      </c>
    </row>
  </sheetData>
  <mergeCells count="4">
    <mergeCell ref="B3:B4"/>
    <mergeCell ref="C3:U3"/>
    <mergeCell ref="A3:A4"/>
    <mergeCell ref="V3:V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6.3" customWidth="1" style="26" min="12" max="12"/>
    <col width="6.3" customWidth="1" style="26" min="13" max="13"/>
    <col width="6.3" customWidth="1" style="26" min="14" max="14"/>
    <col width="6.3" customWidth="1" style="26" min="15" max="15"/>
    <col width="6.3" customWidth="1" style="26" min="16" max="16"/>
    <col width="6.3" customWidth="1" style="26" min="17" max="17"/>
    <col width="6.3" customWidth="1" style="26" min="18" max="18"/>
    <col width="6.3" customWidth="1" style="26" min="19" max="19"/>
    <col width="6.3" customWidth="1" style="26" min="20" max="20"/>
    <col width="6.3" customWidth="1" style="26" min="21" max="21"/>
    <col width="6.3" customWidth="1" style="26" min="22" max="22"/>
    <col width="10.71" customWidth="1" style="26" min="23" max="23"/>
  </cols>
  <sheetData>
    <row r="1">
      <c r="A1" s="27" t="inlineStr">
        <is>
          <t>Control del Sprint</t>
        </is>
      </c>
      <c r="B1" s="28" t="inlineStr">
        <is>
          <t>Sprint 6: Integración de IA y visión computacional (19/10/2026 al 13/11/2026)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19/10</t>
        </is>
      </c>
      <c r="D2" s="30" t="inlineStr">
        <is>
          <t>20/10</t>
        </is>
      </c>
      <c r="E2" s="30" t="inlineStr">
        <is>
          <t>21/10</t>
        </is>
      </c>
      <c r="F2" s="30" t="inlineStr">
        <is>
          <t>22/10</t>
        </is>
      </c>
      <c r="G2" s="30" t="inlineStr">
        <is>
          <t>23/10</t>
        </is>
      </c>
      <c r="H2" s="30" t="inlineStr">
        <is>
          <t>26/10</t>
        </is>
      </c>
      <c r="I2" s="30" t="inlineStr">
        <is>
          <t>27/10</t>
        </is>
      </c>
      <c r="J2" s="30" t="inlineStr">
        <is>
          <t>28/10</t>
        </is>
      </c>
      <c r="K2" s="30" t="inlineStr">
        <is>
          <t>29/10</t>
        </is>
      </c>
      <c r="L2" s="30" t="inlineStr">
        <is>
          <t>30/10</t>
        </is>
      </c>
      <c r="M2" s="30" t="inlineStr">
        <is>
          <t>02/11</t>
        </is>
      </c>
      <c r="N2" s="30" t="inlineStr">
        <is>
          <t>03/11</t>
        </is>
      </c>
      <c r="O2" s="30" t="inlineStr">
        <is>
          <t>04/11</t>
        </is>
      </c>
      <c r="P2" s="30" t="inlineStr">
        <is>
          <t>05/11</t>
        </is>
      </c>
      <c r="Q2" s="30" t="inlineStr">
        <is>
          <t>06/11</t>
        </is>
      </c>
      <c r="R2" s="30" t="inlineStr">
        <is>
          <t>09/11</t>
        </is>
      </c>
      <c r="S2" s="30" t="inlineStr">
        <is>
          <t>10/11</t>
        </is>
      </c>
      <c r="T2" s="30" t="inlineStr">
        <is>
          <t>11/11</t>
        </is>
      </c>
      <c r="U2" s="30" t="inlineStr">
        <is>
          <t>12/11</t>
        </is>
      </c>
      <c r="V2" s="30" t="inlineStr">
        <is>
          <t>13/11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>
        <v>11</v>
      </c>
      <c r="N4" s="31" t="n">
        <v>12</v>
      </c>
      <c r="O4" s="31" t="n">
        <v>13</v>
      </c>
      <c r="P4" s="31" t="n">
        <v>14</v>
      </c>
      <c r="Q4" s="31" t="n">
        <v>15</v>
      </c>
      <c r="R4" s="31" t="n">
        <v>16</v>
      </c>
      <c r="S4" s="31" t="n">
        <v>17</v>
      </c>
      <c r="T4" s="31" t="n">
        <v>18</v>
      </c>
      <c r="U4" s="31" t="n">
        <v>19</v>
      </c>
      <c r="V4" s="31" t="n">
        <v>20</v>
      </c>
      <c r="W4" s="31" t="n"/>
    </row>
    <row r="5">
      <c r="A5" s="32" t="inlineStr">
        <is>
          <t>E5-H2: Conversar con el chatbot en español coloquial</t>
        </is>
      </c>
      <c r="B5" s="33" t="n">
        <v>17</v>
      </c>
      <c r="C5" s="33" t="n">
        <v>4</v>
      </c>
      <c r="D5" s="33" t="n">
        <v>3</v>
      </c>
      <c r="E5" s="33" t="n">
        <v>2</v>
      </c>
      <c r="F5" s="33" t="n">
        <v>4</v>
      </c>
      <c r="G5" s="33" t="n">
        <v>4</v>
      </c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>
        <f>SUM(C5:V5)</f>
        <v>17</v>
      </c>
    </row>
    <row r="6">
      <c r="A6" s="32" t="inlineStr">
        <is>
          <t>E5-H3: Búsqueda de repuestos en el catálogo real</t>
        </is>
      </c>
      <c r="B6" s="33" t="n">
        <v>23</v>
      </c>
      <c r="C6" s="33" t="n"/>
      <c r="D6" s="33" t="n"/>
      <c r="E6" s="33" t="n"/>
      <c r="F6" s="33" t="n">
        <v>4</v>
      </c>
      <c r="G6" s="33" t="n">
        <v>3</v>
      </c>
      <c r="H6" s="33" t="n">
        <v>5</v>
      </c>
      <c r="I6" s="33" t="n">
        <v>4</v>
      </c>
      <c r="J6" s="33" t="n">
        <v>4</v>
      </c>
      <c r="K6" s="33" t="n">
        <v>3</v>
      </c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>
        <f>SUM(C6:V6)</f>
        <v>23</v>
      </c>
    </row>
    <row r="7">
      <c r="A7" s="32" t="inlineStr">
        <is>
          <t>E5-H15: Limitar temas y resistir manipulación del chatbot</t>
        </is>
      </c>
      <c r="B7" s="33" t="n">
        <v>14</v>
      </c>
      <c r="C7" s="33" t="n"/>
      <c r="D7" s="33" t="n"/>
      <c r="E7" s="33" t="n"/>
      <c r="F7" s="33" t="n"/>
      <c r="G7" s="33" t="n"/>
      <c r="H7" s="33" t="n"/>
      <c r="I7" s="33" t="n">
        <v>2</v>
      </c>
      <c r="J7" s="33" t="n">
        <v>2</v>
      </c>
      <c r="K7" s="33" t="n">
        <v>4</v>
      </c>
      <c r="L7" s="33" t="n">
        <v>2</v>
      </c>
      <c r="M7" s="33" t="n">
        <v>4</v>
      </c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>
        <f>SUM(C7:V7)</f>
        <v>14</v>
      </c>
    </row>
    <row r="8">
      <c r="A8" s="32" t="inlineStr">
        <is>
          <t>E5-H17: Limitar consumo de la API de IA y proteger la clave</t>
        </is>
      </c>
      <c r="B8" s="33" t="n">
        <v>9</v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>
        <v>2</v>
      </c>
      <c r="L8" s="33" t="n">
        <v>2</v>
      </c>
      <c r="M8" s="33" t="n">
        <v>2</v>
      </c>
      <c r="N8" s="33" t="n">
        <v>2</v>
      </c>
      <c r="O8" s="33" t="n">
        <v>1</v>
      </c>
      <c r="P8" s="33" t="n"/>
      <c r="Q8" s="33" t="n"/>
      <c r="R8" s="33" t="n"/>
      <c r="S8" s="33" t="n"/>
      <c r="T8" s="33" t="n"/>
      <c r="U8" s="33" t="n"/>
      <c r="V8" s="33" t="n"/>
      <c r="W8" s="33">
        <f>SUM(C8:V8)</f>
        <v>9</v>
      </c>
    </row>
    <row r="9">
      <c r="A9" s="32" t="inlineStr">
        <is>
          <t>E5-H16: Respaldo ante fallas del proveedor de IA</t>
        </is>
      </c>
      <c r="B9" s="33" t="n">
        <v>14</v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>
        <v>1</v>
      </c>
      <c r="O9" s="33" t="n">
        <v>5</v>
      </c>
      <c r="P9" s="33" t="n">
        <v>4</v>
      </c>
      <c r="Q9" s="33" t="n">
        <v>4</v>
      </c>
      <c r="R9" s="33" t="n"/>
      <c r="S9" s="33" t="n"/>
      <c r="T9" s="33" t="n"/>
      <c r="U9" s="33" t="n"/>
      <c r="V9" s="33" t="n"/>
      <c r="W9" s="33">
        <f>SUM(C9:V9)</f>
        <v>14</v>
      </c>
    </row>
    <row r="10">
      <c r="A10" s="32" t="inlineStr">
        <is>
          <t>E5-H13: Enviar foto de la pieza (visión computacional)</t>
        </is>
      </c>
      <c r="B10" s="33" t="n">
        <v>34</v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>
        <v>3</v>
      </c>
      <c r="P10" s="33" t="n">
        <v>2</v>
      </c>
      <c r="Q10" s="33" t="n">
        <v>5</v>
      </c>
      <c r="R10" s="33" t="n">
        <v>4</v>
      </c>
      <c r="S10" s="33" t="n">
        <v>3</v>
      </c>
      <c r="T10" s="33" t="n">
        <v>6</v>
      </c>
      <c r="U10" s="33" t="n">
        <v>6</v>
      </c>
      <c r="V10" s="33" t="n">
        <v>5</v>
      </c>
      <c r="W10" s="33">
        <f>SUM(C10:V10)</f>
        <v>34</v>
      </c>
    </row>
    <row r="11">
      <c r="A11" s="32" t="inlineStr">
        <is>
          <t>E10-H3: Límite de solicitudes y desafío anti-bot</t>
        </is>
      </c>
      <c r="B11" s="33" t="n">
        <v>11</v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>
        <v>5</v>
      </c>
      <c r="U11" s="33" t="n">
        <v>4</v>
      </c>
      <c r="V11" s="33" t="n">
        <v>2</v>
      </c>
      <c r="W11" s="33">
        <f>SUM(C11:V11)</f>
        <v>11</v>
      </c>
    </row>
    <row r="13">
      <c r="A13" s="34" t="inlineStr">
        <is>
          <t>Reales de producto por realizar</t>
        </is>
      </c>
      <c r="B13" s="35">
        <f>SUM(B5:B11)</f>
        <v>122</v>
      </c>
      <c r="C13" s="35">
        <f>B13-SUM(C5:C11)</f>
        <v>118</v>
      </c>
      <c r="D13" s="35">
        <f>C13-SUM(D5:D11)</f>
        <v>115</v>
      </c>
      <c r="E13" s="35">
        <f>D13-SUM(E5:E11)</f>
        <v>113</v>
      </c>
      <c r="F13" s="35">
        <f>E13-SUM(F5:F11)</f>
        <v>105</v>
      </c>
      <c r="G13" s="35">
        <f>F13-SUM(G5:G11)</f>
        <v>98</v>
      </c>
      <c r="H13" s="35">
        <f>G13-SUM(H5:H11)</f>
        <v>93</v>
      </c>
      <c r="I13" s="35">
        <f>H13-SUM(I5:I11)</f>
        <v>87</v>
      </c>
      <c r="J13" s="35">
        <f>I13-SUM(J5:J11)</f>
        <v>81</v>
      </c>
      <c r="K13" s="35">
        <f>J13-SUM(K5:K11)</f>
        <v>72</v>
      </c>
      <c r="L13" s="35">
        <f>K13-SUM(L5:L11)</f>
        <v>68</v>
      </c>
      <c r="M13" s="35">
        <f>L13-SUM(M5:M11)</f>
        <v>62</v>
      </c>
      <c r="N13" s="35">
        <f>M13-SUM(N5:N11)</f>
        <v>59</v>
      </c>
      <c r="O13" s="35">
        <f>N13-SUM(O5:O11)</f>
        <v>50</v>
      </c>
      <c r="P13" s="35">
        <f>O13-SUM(P5:P11)</f>
        <v>44</v>
      </c>
      <c r="Q13" s="35">
        <f>P13-SUM(Q5:Q11)</f>
        <v>35</v>
      </c>
      <c r="R13" s="35">
        <f>Q13-SUM(R5:R11)</f>
        <v>31</v>
      </c>
      <c r="S13" s="35">
        <f>R13-SUM(S5:S11)</f>
        <v>28</v>
      </c>
      <c r="T13" s="35">
        <f>S13-SUM(T5:T11)</f>
        <v>17</v>
      </c>
      <c r="U13" s="35">
        <f>T13-SUM(U5:U11)</f>
        <v>7</v>
      </c>
      <c r="V13" s="35">
        <f>U13-SUM(V5:V11)</f>
        <v>0</v>
      </c>
    </row>
    <row r="15">
      <c r="A15" s="34" t="inlineStr">
        <is>
          <t>Estimadas de producto por realizar</t>
        </is>
      </c>
      <c r="B15" s="36">
        <f>SUM(B5:B11)</f>
        <v>122</v>
      </c>
      <c r="C15" s="36">
        <f>$B$15-SUM($B$5:$B$11)*C$4/COUNT($C$4:$V$4)</f>
        <v>115.9</v>
      </c>
      <c r="D15" s="36">
        <f>$B$15-SUM($B$5:$B$11)*D$4/COUNT($C$4:$V$4)</f>
        <v>109.8</v>
      </c>
      <c r="E15" s="36">
        <f>$B$15-SUM($B$5:$B$11)*E$4/COUNT($C$4:$V$4)</f>
        <v>103.7</v>
      </c>
      <c r="F15" s="36">
        <f>$B$15-SUM($B$5:$B$11)*F$4/COUNT($C$4:$V$4)</f>
        <v>97.6</v>
      </c>
      <c r="G15" s="36">
        <f>$B$15-SUM($B$5:$B$11)*G$4/COUNT($C$4:$V$4)</f>
        <v>91.5</v>
      </c>
      <c r="H15" s="36">
        <f>$B$15-SUM($B$5:$B$11)*H$4/COUNT($C$4:$V$4)</f>
        <v>85.4</v>
      </c>
      <c r="I15" s="36">
        <f>$B$15-SUM($B$5:$B$11)*I$4/COUNT($C$4:$V$4)</f>
        <v>79.3</v>
      </c>
      <c r="J15" s="36">
        <f>$B$15-SUM($B$5:$B$11)*J$4/COUNT($C$4:$V$4)</f>
        <v>73.2</v>
      </c>
      <c r="K15" s="36">
        <f>$B$15-SUM($B$5:$B$11)*K$4/COUNT($C$4:$V$4)</f>
        <v>67.1</v>
      </c>
      <c r="L15" s="36">
        <f>$B$15-SUM($B$5:$B$11)*L$4/COUNT($C$4:$V$4)</f>
        <v>61</v>
      </c>
      <c r="M15" s="36">
        <f>$B$15-SUM($B$5:$B$11)*M$4/COUNT($C$4:$V$4)</f>
        <v>54.9</v>
      </c>
      <c r="N15" s="36">
        <f>$B$15-SUM($B$5:$B$11)*N$4/COUNT($C$4:$V$4)</f>
        <v>48.8</v>
      </c>
      <c r="O15" s="36">
        <f>$B$15-SUM($B$5:$B$11)*O$4/COUNT($C$4:$V$4)</f>
        <v>42.7</v>
      </c>
      <c r="P15" s="36">
        <f>$B$15-SUM($B$5:$B$11)*P$4/COUNT($C$4:$V$4)</f>
        <v>36.6</v>
      </c>
      <c r="Q15" s="36">
        <f>$B$15-SUM($B$5:$B$11)*Q$4/COUNT($C$4:$V$4)</f>
        <v>30.5</v>
      </c>
      <c r="R15" s="36">
        <f>$B$15-SUM($B$5:$B$11)*R$4/COUNT($C$4:$V$4)</f>
        <v>24.4</v>
      </c>
      <c r="S15" s="36">
        <f>$B$15-SUM($B$5:$B$11)*S$4/COUNT($C$4:$V$4)</f>
        <v>18.3</v>
      </c>
      <c r="T15" s="36">
        <f>$B$15-SUM($B$5:$B$11)*T$4/COUNT($C$4:$V$4)</f>
        <v>12.2</v>
      </c>
      <c r="U15" s="36">
        <f>$B$15-SUM($B$5:$B$11)*U$4/COUNT($C$4:$V$4)</f>
        <v>6.09999999999999</v>
      </c>
      <c r="V15" s="36">
        <f>$B$15-SUM($B$5:$B$11)*V$4/COUNT($C$4:$V$4)</f>
        <v>0</v>
      </c>
    </row>
    <row r="17">
      <c r="A17" s="37" t="inlineStr">
        <is>
          <t>Historias de usuario del Documento de Épicas e Historias de Usuario (pase el cursor sobre cada historia para ver su enunciado completo).</t>
        </is>
      </c>
    </row>
    <row r="18">
      <c r="A18" s="37" t="inlineStr">
        <is>
          <t>DIA: 20 días hábiles entre el 19/10/2026 y el 13/11/2026 (la fila Fecha indica cada día).</t>
        </is>
      </c>
    </row>
  </sheetData>
  <mergeCells count="4">
    <mergeCell ref="B3:B4"/>
    <mergeCell ref="C3:V3"/>
    <mergeCell ref="A3:A4"/>
    <mergeCell ref="W3:W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6.3" customWidth="1" style="26" min="12" max="12"/>
    <col width="6.3" customWidth="1" style="26" min="13" max="13"/>
    <col width="6.3" customWidth="1" style="26" min="14" max="14"/>
    <col width="6.3" customWidth="1" style="26" min="15" max="15"/>
    <col width="6.3" customWidth="1" style="26" min="16" max="16"/>
    <col width="6.3" customWidth="1" style="26" min="17" max="17"/>
    <col width="6.3" customWidth="1" style="26" min="18" max="18"/>
    <col width="6.3" customWidth="1" style="26" min="19" max="19"/>
    <col width="6.3" customWidth="1" style="26" min="20" max="20"/>
    <col width="6.3" customWidth="1" style="26" min="21" max="21"/>
    <col width="6.3" customWidth="1" style="26" min="22" max="22"/>
    <col width="10.71" customWidth="1" style="26" min="23" max="23"/>
  </cols>
  <sheetData>
    <row r="1">
      <c r="A1" s="27" t="inlineStr">
        <is>
          <t>Control del Sprint</t>
        </is>
      </c>
      <c r="B1" s="28" t="inlineStr">
        <is>
          <t>Sprint 7: Desarrollo de módulo de conversaciones y recomendación (02/11/2026 al 27/11/2026)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02/11</t>
        </is>
      </c>
      <c r="D2" s="30" t="inlineStr">
        <is>
          <t>03/11</t>
        </is>
      </c>
      <c r="E2" s="30" t="inlineStr">
        <is>
          <t>04/11</t>
        </is>
      </c>
      <c r="F2" s="30" t="inlineStr">
        <is>
          <t>05/11</t>
        </is>
      </c>
      <c r="G2" s="30" t="inlineStr">
        <is>
          <t>06/11</t>
        </is>
      </c>
      <c r="H2" s="30" t="inlineStr">
        <is>
          <t>09/11</t>
        </is>
      </c>
      <c r="I2" s="30" t="inlineStr">
        <is>
          <t>10/11</t>
        </is>
      </c>
      <c r="J2" s="30" t="inlineStr">
        <is>
          <t>11/11</t>
        </is>
      </c>
      <c r="K2" s="30" t="inlineStr">
        <is>
          <t>12/11</t>
        </is>
      </c>
      <c r="L2" s="30" t="inlineStr">
        <is>
          <t>13/11</t>
        </is>
      </c>
      <c r="M2" s="30" t="inlineStr">
        <is>
          <t>16/11</t>
        </is>
      </c>
      <c r="N2" s="30" t="inlineStr">
        <is>
          <t>17/11</t>
        </is>
      </c>
      <c r="O2" s="30" t="inlineStr">
        <is>
          <t>18/11</t>
        </is>
      </c>
      <c r="P2" s="30" t="inlineStr">
        <is>
          <t>19/11</t>
        </is>
      </c>
      <c r="Q2" s="30" t="inlineStr">
        <is>
          <t>20/11</t>
        </is>
      </c>
      <c r="R2" s="30" t="inlineStr">
        <is>
          <t>23/11</t>
        </is>
      </c>
      <c r="S2" s="30" t="inlineStr">
        <is>
          <t>24/11</t>
        </is>
      </c>
      <c r="T2" s="30" t="inlineStr">
        <is>
          <t>25/11</t>
        </is>
      </c>
      <c r="U2" s="30" t="inlineStr">
        <is>
          <t>26/11</t>
        </is>
      </c>
      <c r="V2" s="30" t="inlineStr">
        <is>
          <t>27/11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>
        <v>11</v>
      </c>
      <c r="N4" s="31" t="n">
        <v>12</v>
      </c>
      <c r="O4" s="31" t="n">
        <v>13</v>
      </c>
      <c r="P4" s="31" t="n">
        <v>14</v>
      </c>
      <c r="Q4" s="31" t="n">
        <v>15</v>
      </c>
      <c r="R4" s="31" t="n">
        <v>16</v>
      </c>
      <c r="S4" s="31" t="n">
        <v>17</v>
      </c>
      <c r="T4" s="31" t="n">
        <v>18</v>
      </c>
      <c r="U4" s="31" t="n">
        <v>19</v>
      </c>
      <c r="V4" s="31" t="n">
        <v>20</v>
      </c>
      <c r="W4" s="31" t="n"/>
    </row>
    <row r="5">
      <c r="A5" s="32" t="inlineStr">
        <is>
          <t>E5-H8: Recordar la conversación al navegar el sitio</t>
        </is>
      </c>
      <c r="B5" s="33" t="n">
        <v>9</v>
      </c>
      <c r="C5" s="33" t="n">
        <v>4</v>
      </c>
      <c r="D5" s="33" t="n">
        <v>1</v>
      </c>
      <c r="E5" s="33" t="n">
        <v>4</v>
      </c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>
        <f>SUM(C5:V5)</f>
        <v>9</v>
      </c>
    </row>
    <row r="6">
      <c r="A6" s="32" t="inlineStr">
        <is>
          <t>E5-H5: Tarjetas de producto dentro del chat</t>
        </is>
      </c>
      <c r="B6" s="33" t="n">
        <v>9</v>
      </c>
      <c r="C6" s="33" t="n"/>
      <c r="D6" s="33" t="n">
        <v>3</v>
      </c>
      <c r="E6" s="33" t="n">
        <v>2</v>
      </c>
      <c r="F6" s="33" t="n">
        <v>4</v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>
        <f>SUM(C6:V6)</f>
        <v>9</v>
      </c>
    </row>
    <row r="7">
      <c r="A7" s="32" t="inlineStr">
        <is>
          <t>E5-H6: Agregar al carrito desde el chat</t>
        </is>
      </c>
      <c r="B7" s="33" t="n">
        <v>7</v>
      </c>
      <c r="C7" s="33" t="n"/>
      <c r="D7" s="33" t="n"/>
      <c r="E7" s="33" t="n"/>
      <c r="F7" s="33" t="n">
        <v>3</v>
      </c>
      <c r="G7" s="33" t="n">
        <v>1</v>
      </c>
      <c r="H7" s="33" t="n">
        <v>3</v>
      </c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>
        <f>SUM(C7:V7)</f>
        <v>7</v>
      </c>
    </row>
    <row r="8">
      <c r="A8" s="32" t="inlineStr">
        <is>
          <t>E5-H7: Continuar por WhatsApp con la conversación resumida</t>
        </is>
      </c>
      <c r="B8" s="33" t="n">
        <v>7</v>
      </c>
      <c r="C8" s="33" t="n"/>
      <c r="D8" s="33" t="n"/>
      <c r="E8" s="33" t="n"/>
      <c r="F8" s="33" t="n"/>
      <c r="G8" s="33" t="n">
        <v>1</v>
      </c>
      <c r="H8" s="33" t="n">
        <v>3</v>
      </c>
      <c r="I8" s="33" t="n">
        <v>3</v>
      </c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>
        <f>SUM(C8:V8)</f>
        <v>7</v>
      </c>
    </row>
    <row r="9">
      <c r="A9" s="32" t="inlineStr">
        <is>
          <t>E2-H11: Productos relacionados en la ficha</t>
        </is>
      </c>
      <c r="B9" s="33" t="n">
        <v>7</v>
      </c>
      <c r="C9" s="33" t="n"/>
      <c r="D9" s="33" t="n"/>
      <c r="E9" s="33" t="n"/>
      <c r="F9" s="33" t="n"/>
      <c r="G9" s="33" t="n"/>
      <c r="H9" s="33" t="n"/>
      <c r="I9" s="33" t="n">
        <v>2</v>
      </c>
      <c r="J9" s="33" t="n">
        <v>5</v>
      </c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>
        <f>SUM(C9:V9)</f>
        <v>7</v>
      </c>
    </row>
    <row r="10">
      <c r="A10" s="32" t="inlineStr">
        <is>
          <t>E2-H10: Alternativas cuando la búsqueda no da resultados</t>
        </is>
      </c>
      <c r="B10" s="33" t="n">
        <v>7</v>
      </c>
      <c r="C10" s="33" t="n"/>
      <c r="D10" s="33" t="n"/>
      <c r="E10" s="33" t="n"/>
      <c r="F10" s="33" t="n"/>
      <c r="G10" s="33" t="n"/>
      <c r="H10" s="33" t="n"/>
      <c r="I10" s="33" t="n">
        <v>2</v>
      </c>
      <c r="J10" s="33" t="n">
        <v>1</v>
      </c>
      <c r="K10" s="33" t="n">
        <v>1</v>
      </c>
      <c r="L10" s="33" t="n">
        <v>3</v>
      </c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>
        <f>SUM(C10:V10)</f>
        <v>7</v>
      </c>
    </row>
    <row r="11">
      <c r="A11" s="32" t="inlineStr">
        <is>
          <t>E2-H7: Sugerencias en la barra de búsqueda</t>
        </is>
      </c>
      <c r="B11" s="33" t="n">
        <v>7</v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>
        <v>2</v>
      </c>
      <c r="L11" s="33" t="n">
        <v>3</v>
      </c>
      <c r="M11" s="33" t="n">
        <v>2</v>
      </c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>
        <f>SUM(C11:V11)</f>
        <v>7</v>
      </c>
    </row>
    <row r="12">
      <c r="A12" s="32" t="inlineStr">
        <is>
          <t>E5-H12: Consultar el estado del pedido en el chat</t>
        </is>
      </c>
      <c r="B12" s="33" t="n">
        <v>9</v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>
        <v>2</v>
      </c>
      <c r="L12" s="33" t="n">
        <v>2</v>
      </c>
      <c r="M12" s="33" t="n">
        <v>1</v>
      </c>
      <c r="N12" s="33" t="n">
        <v>1</v>
      </c>
      <c r="O12" s="33" t="n">
        <v>3</v>
      </c>
      <c r="P12" s="33" t="n"/>
      <c r="Q12" s="33" t="n"/>
      <c r="R12" s="33" t="n"/>
      <c r="S12" s="33" t="n"/>
      <c r="T12" s="33" t="n"/>
      <c r="U12" s="33" t="n"/>
      <c r="V12" s="33" t="n"/>
      <c r="W12" s="33">
        <f>SUM(C12:V12)</f>
        <v>9</v>
      </c>
    </row>
    <row r="13">
      <c r="A13" s="32" t="inlineStr">
        <is>
          <t>E2-H9: Aviso de reposición en productos sin stock</t>
        </is>
      </c>
      <c r="B13" s="33" t="n">
        <v>6</v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>
        <v>2</v>
      </c>
      <c r="N13" s="33" t="n">
        <v>2</v>
      </c>
      <c r="O13" s="33" t="n">
        <v>1</v>
      </c>
      <c r="P13" s="33" t="n">
        <v>1</v>
      </c>
      <c r="Q13" s="33" t="n"/>
      <c r="R13" s="33" t="n"/>
      <c r="S13" s="33" t="n"/>
      <c r="T13" s="33" t="n"/>
      <c r="U13" s="33" t="n"/>
      <c r="V13" s="33" t="n"/>
      <c r="W13" s="33">
        <f>SUM(C13:V13)</f>
        <v>6</v>
      </c>
    </row>
    <row r="14">
      <c r="A14" s="32" t="inlineStr">
        <is>
          <t>E5-H11: Ofrecer aviso de reposición desde el chat</t>
        </is>
      </c>
      <c r="B14" s="33" t="n">
        <v>5</v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>
        <v>2</v>
      </c>
      <c r="P14" s="33" t="n">
        <v>3</v>
      </c>
      <c r="Q14" s="33" t="n"/>
      <c r="R14" s="33" t="n"/>
      <c r="S14" s="33" t="n"/>
      <c r="T14" s="33" t="n"/>
      <c r="U14" s="33" t="n"/>
      <c r="V14" s="33" t="n"/>
      <c r="W14" s="33">
        <f>SUM(C14:V14)</f>
        <v>5</v>
      </c>
    </row>
    <row r="15">
      <c r="A15" s="32" t="inlineStr">
        <is>
          <t>E6-H10: Ver solicitudes de aviso de reposición</t>
        </is>
      </c>
      <c r="B15" s="33" t="n">
        <v>4</v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>
        <v>2</v>
      </c>
      <c r="P15" s="33" t="n">
        <v>2</v>
      </c>
      <c r="Q15" s="33" t="n"/>
      <c r="R15" s="33" t="n"/>
      <c r="S15" s="33" t="n"/>
      <c r="T15" s="33" t="n"/>
      <c r="U15" s="33" t="n"/>
      <c r="V15" s="33" t="n"/>
      <c r="W15" s="33">
        <f>SUM(C15:V15)</f>
        <v>4</v>
      </c>
    </row>
    <row r="16">
      <c r="A16" s="32" t="inlineStr">
        <is>
          <t>E7-H3: Correo cuando vuelve el stock</t>
        </is>
      </c>
      <c r="B16" s="33" t="n">
        <v>4</v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>
        <v>2</v>
      </c>
      <c r="Q16" s="33" t="n"/>
      <c r="R16" s="33" t="n">
        <v>2</v>
      </c>
      <c r="S16" s="33" t="n"/>
      <c r="T16" s="33" t="n"/>
      <c r="U16" s="33" t="n"/>
      <c r="V16" s="33" t="n"/>
      <c r="W16" s="33">
        <f>SUM(C16:V16)</f>
        <v>4</v>
      </c>
    </row>
    <row r="17">
      <c r="A17" s="32" t="inlineStr">
        <is>
          <t>E5-H10: Valorar las respuestas del chatbot</t>
        </is>
      </c>
      <c r="B17" s="33" t="n">
        <v>4</v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>
        <v>4</v>
      </c>
      <c r="R17" s="33" t="n"/>
      <c r="S17" s="33" t="n"/>
      <c r="T17" s="33" t="n"/>
      <c r="U17" s="33" t="n"/>
      <c r="V17" s="33" t="n"/>
      <c r="W17" s="33">
        <f>SUM(C17:V17)</f>
        <v>4</v>
      </c>
    </row>
    <row r="18">
      <c r="A18" s="32" t="inlineStr">
        <is>
          <t>E5-H18: Informar el almacenamiento de las conversaciones</t>
        </is>
      </c>
      <c r="B18" s="33" t="n">
        <v>4</v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>
        <v>1</v>
      </c>
      <c r="Q18" s="33" t="n">
        <v>1</v>
      </c>
      <c r="R18" s="33" t="n">
        <v>1</v>
      </c>
      <c r="S18" s="33" t="n">
        <v>1</v>
      </c>
      <c r="T18" s="33" t="n"/>
      <c r="U18" s="33" t="n"/>
      <c r="V18" s="33" t="n"/>
      <c r="W18" s="33">
        <f>SUM(C18:V18)</f>
        <v>4</v>
      </c>
    </row>
    <row r="19">
      <c r="A19" s="32" t="inlineStr">
        <is>
          <t>E6-H5: Revisar conversaciones del chatbot</t>
        </is>
      </c>
      <c r="B19" s="33" t="n">
        <v>9</v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>
        <v>3</v>
      </c>
      <c r="S19" s="33" t="n">
        <v>3</v>
      </c>
      <c r="T19" s="33" t="n">
        <v>3</v>
      </c>
      <c r="U19" s="33" t="n"/>
      <c r="V19" s="33" t="n"/>
      <c r="W19" s="33">
        <f>SUM(C19:V19)</f>
        <v>9</v>
      </c>
    </row>
    <row r="20">
      <c r="A20" s="32" t="inlineStr">
        <is>
          <t>E6-H9: Configurar mensajes y datos del chatbot</t>
        </is>
      </c>
      <c r="B20" s="33" t="n">
        <v>7</v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>
        <v>2</v>
      </c>
      <c r="T20" s="33" t="n">
        <v>2</v>
      </c>
      <c r="U20" s="33" t="n">
        <v>2</v>
      </c>
      <c r="V20" s="33" t="n">
        <v>1</v>
      </c>
      <c r="W20" s="33">
        <f>SUM(C20:V20)</f>
        <v>7</v>
      </c>
    </row>
    <row r="21">
      <c r="A21" s="32" t="inlineStr">
        <is>
          <t>E5-H14: Asistente disponible en Telegram</t>
        </is>
      </c>
      <c r="B21" s="33" t="n">
        <v>13</v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>
        <v>3</v>
      </c>
      <c r="U21" s="33" t="n">
        <v>6</v>
      </c>
      <c r="V21" s="33" t="n">
        <v>4</v>
      </c>
      <c r="W21" s="33">
        <f>SUM(C21:V21)</f>
        <v>13</v>
      </c>
    </row>
    <row r="23">
      <c r="A23" s="34" t="inlineStr">
        <is>
          <t>Reales de producto por realizar</t>
        </is>
      </c>
      <c r="B23" s="35">
        <f>SUM(B5:B21)</f>
        <v>118</v>
      </c>
      <c r="C23" s="35">
        <f>B23-SUM(C5:C21)</f>
        <v>114</v>
      </c>
      <c r="D23" s="35">
        <f>C23-SUM(D5:D21)</f>
        <v>110</v>
      </c>
      <c r="E23" s="35">
        <f>D23-SUM(E5:E21)</f>
        <v>104</v>
      </c>
      <c r="F23" s="35">
        <f>E23-SUM(F5:F21)</f>
        <v>97</v>
      </c>
      <c r="G23" s="35">
        <f>F23-SUM(G5:G21)</f>
        <v>95</v>
      </c>
      <c r="H23" s="35">
        <f>G23-SUM(H5:H21)</f>
        <v>89</v>
      </c>
      <c r="I23" s="35">
        <f>H23-SUM(I5:I21)</f>
        <v>82</v>
      </c>
      <c r="J23" s="35">
        <f>I23-SUM(J5:J21)</f>
        <v>76</v>
      </c>
      <c r="K23" s="35">
        <f>J23-SUM(K5:K21)</f>
        <v>71</v>
      </c>
      <c r="L23" s="35">
        <f>K23-SUM(L5:L21)</f>
        <v>63</v>
      </c>
      <c r="M23" s="35">
        <f>L23-SUM(M5:M21)</f>
        <v>58</v>
      </c>
      <c r="N23" s="35">
        <f>M23-SUM(N5:N21)</f>
        <v>55</v>
      </c>
      <c r="O23" s="35">
        <f>N23-SUM(O5:O21)</f>
        <v>47</v>
      </c>
      <c r="P23" s="35">
        <f>O23-SUM(P5:P21)</f>
        <v>38</v>
      </c>
      <c r="Q23" s="35">
        <f>P23-SUM(Q5:Q21)</f>
        <v>33</v>
      </c>
      <c r="R23" s="35">
        <f>Q23-SUM(R5:R21)</f>
        <v>27</v>
      </c>
      <c r="S23" s="35">
        <f>R23-SUM(S5:S21)</f>
        <v>21</v>
      </c>
      <c r="T23" s="35">
        <f>S23-SUM(T5:T21)</f>
        <v>13</v>
      </c>
      <c r="U23" s="35">
        <f>T23-SUM(U5:U21)</f>
        <v>5</v>
      </c>
      <c r="V23" s="35">
        <f>U23-SUM(V5:V21)</f>
        <v>0</v>
      </c>
    </row>
    <row r="25">
      <c r="A25" s="34" t="inlineStr">
        <is>
          <t>Estimadas de producto por realizar</t>
        </is>
      </c>
      <c r="B25" s="36">
        <f>SUM(B5:B21)</f>
        <v>118</v>
      </c>
      <c r="C25" s="36">
        <f>$B$25-SUM($B$5:$B$21)*C$4/COUNT($C$4:$V$4)</f>
        <v>112.1</v>
      </c>
      <c r="D25" s="36">
        <f>$B$25-SUM($B$5:$B$21)*D$4/COUNT($C$4:$V$4)</f>
        <v>106.2</v>
      </c>
      <c r="E25" s="36">
        <f>$B$25-SUM($B$5:$B$21)*E$4/COUNT($C$4:$V$4)</f>
        <v>100.3</v>
      </c>
      <c r="F25" s="36">
        <f>$B$25-SUM($B$5:$B$21)*F$4/COUNT($C$4:$V$4)</f>
        <v>94.4</v>
      </c>
      <c r="G25" s="36">
        <f>$B$25-SUM($B$5:$B$21)*G$4/COUNT($C$4:$V$4)</f>
        <v>88.5</v>
      </c>
      <c r="H25" s="36">
        <f>$B$25-SUM($B$5:$B$21)*H$4/COUNT($C$4:$V$4)</f>
        <v>82.6</v>
      </c>
      <c r="I25" s="36">
        <f>$B$25-SUM($B$5:$B$21)*I$4/COUNT($C$4:$V$4)</f>
        <v>76.7</v>
      </c>
      <c r="J25" s="36">
        <f>$B$25-SUM($B$5:$B$21)*J$4/COUNT($C$4:$V$4)</f>
        <v>70.8</v>
      </c>
      <c r="K25" s="36">
        <f>$B$25-SUM($B$5:$B$21)*K$4/COUNT($C$4:$V$4)</f>
        <v>64.9</v>
      </c>
      <c r="L25" s="36">
        <f>$B$25-SUM($B$5:$B$21)*L$4/COUNT($C$4:$V$4)</f>
        <v>59</v>
      </c>
      <c r="M25" s="36">
        <f>$B$25-SUM($B$5:$B$21)*M$4/COUNT($C$4:$V$4)</f>
        <v>53.1</v>
      </c>
      <c r="N25" s="36">
        <f>$B$25-SUM($B$5:$B$21)*N$4/COUNT($C$4:$V$4)</f>
        <v>47.2</v>
      </c>
      <c r="O25" s="36">
        <f>$B$25-SUM($B$5:$B$21)*O$4/COUNT($C$4:$V$4)</f>
        <v>41.3</v>
      </c>
      <c r="P25" s="36">
        <f>$B$25-SUM($B$5:$B$21)*P$4/COUNT($C$4:$V$4)</f>
        <v>35.4</v>
      </c>
      <c r="Q25" s="36">
        <f>$B$25-SUM($B$5:$B$21)*Q$4/COUNT($C$4:$V$4)</f>
        <v>29.5</v>
      </c>
      <c r="R25" s="36">
        <f>$B$25-SUM($B$5:$B$21)*R$4/COUNT($C$4:$V$4)</f>
        <v>23.6</v>
      </c>
      <c r="S25" s="36">
        <f>$B$25-SUM($B$5:$B$21)*S$4/COUNT($C$4:$V$4)</f>
        <v>17.7</v>
      </c>
      <c r="T25" s="36">
        <f>$B$25-SUM($B$5:$B$21)*T$4/COUNT($C$4:$V$4)</f>
        <v>11.8</v>
      </c>
      <c r="U25" s="36">
        <f>$B$25-SUM($B$5:$B$21)*U$4/COUNT($C$4:$V$4)</f>
        <v>5.90000000000001</v>
      </c>
      <c r="V25" s="36">
        <f>$B$25-SUM($B$5:$B$21)*V$4/COUNT($C$4:$V$4)</f>
        <v>0</v>
      </c>
    </row>
    <row r="27">
      <c r="A27" s="37" t="inlineStr">
        <is>
          <t>Historias de usuario del Documento de Épicas e Historias de Usuario (pase el cursor sobre cada historia para ver su enunciado completo).</t>
        </is>
      </c>
    </row>
    <row r="28">
      <c r="A28" s="37" t="inlineStr">
        <is>
          <t>DIA: 20 días hábiles entre el 02/11/2026 y el 27/11/2026 (la fila Fecha indica cada día).</t>
        </is>
      </c>
    </row>
  </sheetData>
  <mergeCells count="4">
    <mergeCell ref="B3:B4"/>
    <mergeCell ref="C3:V3"/>
    <mergeCell ref="A3:A4"/>
    <mergeCell ref="W3:W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6.3" customWidth="1" style="26" min="12" max="12"/>
    <col width="6.3" customWidth="1" style="26" min="13" max="13"/>
    <col width="6.3" customWidth="1" style="26" min="14" max="14"/>
    <col width="6.3" customWidth="1" style="26" min="15" max="15"/>
    <col width="6.3" customWidth="1" style="26" min="16" max="16"/>
    <col width="10.71" customWidth="1" style="26" min="17" max="17"/>
  </cols>
  <sheetData>
    <row r="1">
      <c r="A1" s="27" t="inlineStr">
        <is>
          <t>Control del Sprint</t>
        </is>
      </c>
      <c r="B1" s="28" t="inlineStr">
        <is>
          <t>Sprint 8: Integración integral (Frontend + Backend + IA) (23/11/2026 al 11/12/2026)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23/11</t>
        </is>
      </c>
      <c r="D2" s="30" t="inlineStr">
        <is>
          <t>24/11</t>
        </is>
      </c>
      <c r="E2" s="30" t="inlineStr">
        <is>
          <t>25/11</t>
        </is>
      </c>
      <c r="F2" s="30" t="inlineStr">
        <is>
          <t>26/11</t>
        </is>
      </c>
      <c r="G2" s="30" t="inlineStr">
        <is>
          <t>27/11</t>
        </is>
      </c>
      <c r="H2" s="30" t="inlineStr">
        <is>
          <t>30/11</t>
        </is>
      </c>
      <c r="I2" s="30" t="inlineStr">
        <is>
          <t>01/12</t>
        </is>
      </c>
      <c r="J2" s="30" t="inlineStr">
        <is>
          <t>02/12</t>
        </is>
      </c>
      <c r="K2" s="30" t="inlineStr">
        <is>
          <t>03/12</t>
        </is>
      </c>
      <c r="L2" s="30" t="inlineStr">
        <is>
          <t>04/12</t>
        </is>
      </c>
      <c r="M2" s="30" t="inlineStr">
        <is>
          <t>07/12</t>
        </is>
      </c>
      <c r="N2" s="30" t="inlineStr">
        <is>
          <t>09/12</t>
        </is>
      </c>
      <c r="O2" s="30" t="inlineStr">
        <is>
          <t>10/12</t>
        </is>
      </c>
      <c r="P2" s="30" t="inlineStr">
        <is>
          <t>11/12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>
        <v>11</v>
      </c>
      <c r="N4" s="31" t="n">
        <v>12</v>
      </c>
      <c r="O4" s="31" t="n">
        <v>13</v>
      </c>
      <c r="P4" s="31" t="n">
        <v>14</v>
      </c>
      <c r="Q4" s="31" t="n"/>
    </row>
    <row r="5">
      <c r="A5" s="32" t="inlineStr">
        <is>
          <t>E3-H8: Confirmación de compra con número de pedido</t>
        </is>
      </c>
      <c r="B5" s="33" t="n">
        <v>7</v>
      </c>
      <c r="C5" s="33" t="n">
        <v>4</v>
      </c>
      <c r="D5" s="33" t="n">
        <v>3</v>
      </c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>
        <f>SUM(C5:P5)</f>
        <v>7</v>
      </c>
    </row>
    <row r="6">
      <c r="A6" s="32" t="inlineStr">
        <is>
          <t>E4-H5: Reintentar pago rechazado o cancelado</t>
        </is>
      </c>
      <c r="B6" s="33" t="n">
        <v>9</v>
      </c>
      <c r="C6" s="33" t="n">
        <v>2</v>
      </c>
      <c r="D6" s="33" t="n">
        <v>2</v>
      </c>
      <c r="E6" s="33" t="n">
        <v>2</v>
      </c>
      <c r="F6" s="33" t="n">
        <v>3</v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>
        <f>SUM(C6:P6)</f>
        <v>9</v>
      </c>
    </row>
    <row r="7">
      <c r="A7" s="32" t="inlineStr">
        <is>
          <t>E7-H1: Aviso interno de pago aprobado</t>
        </is>
      </c>
      <c r="B7" s="33" t="n">
        <v>5</v>
      </c>
      <c r="C7" s="33" t="n"/>
      <c r="D7" s="33" t="n"/>
      <c r="E7" s="33" t="n">
        <v>3</v>
      </c>
      <c r="F7" s="33" t="n">
        <v>2</v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>
        <f>SUM(C7:P7)</f>
        <v>5</v>
      </c>
    </row>
    <row r="8">
      <c r="A8" s="32" t="inlineStr">
        <is>
          <t>E7-H2: Correo de pedido despachado o listo para retiro</t>
        </is>
      </c>
      <c r="B8" s="33" t="n">
        <v>4</v>
      </c>
      <c r="C8" s="33" t="n"/>
      <c r="D8" s="33" t="n">
        <v>1</v>
      </c>
      <c r="E8" s="33" t="n">
        <v>1</v>
      </c>
      <c r="F8" s="33" t="n">
        <v>1</v>
      </c>
      <c r="G8" s="33" t="n">
        <v>1</v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>
        <f>SUM(C8:P8)</f>
        <v>4</v>
      </c>
    </row>
    <row r="9">
      <c r="A9" s="32" t="inlineStr">
        <is>
          <t>E3-H9: Conservar el carrito entre visitas</t>
        </is>
      </c>
      <c r="B9" s="33" t="n">
        <v>5</v>
      </c>
      <c r="C9" s="33" t="n"/>
      <c r="D9" s="33" t="n"/>
      <c r="E9" s="33" t="n">
        <v>1</v>
      </c>
      <c r="F9" s="33" t="n">
        <v>2</v>
      </c>
      <c r="G9" s="33" t="n">
        <v>2</v>
      </c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>
        <f>SUM(C9:P9)</f>
        <v>5</v>
      </c>
    </row>
    <row r="10">
      <c r="A10" s="32" t="inlineStr">
        <is>
          <t>E3-H10: Aplicar código de descuento</t>
        </is>
      </c>
      <c r="B10" s="33" t="n">
        <v>9</v>
      </c>
      <c r="C10" s="33" t="n"/>
      <c r="D10" s="33" t="n"/>
      <c r="E10" s="33" t="n"/>
      <c r="F10" s="33" t="n">
        <v>3</v>
      </c>
      <c r="G10" s="33" t="n">
        <v>1</v>
      </c>
      <c r="H10" s="33" t="n">
        <v>5</v>
      </c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>
        <f>SUM(C10:P10)</f>
        <v>9</v>
      </c>
    </row>
    <row r="11">
      <c r="A11" s="32" t="inlineStr">
        <is>
          <t>E6-H7: Gestionar códigos de descuento</t>
        </is>
      </c>
      <c r="B11" s="33" t="n">
        <v>7</v>
      </c>
      <c r="C11" s="33" t="n"/>
      <c r="D11" s="33" t="n"/>
      <c r="E11" s="33" t="n"/>
      <c r="F11" s="33" t="n">
        <v>2</v>
      </c>
      <c r="G11" s="33" t="n">
        <v>2</v>
      </c>
      <c r="H11" s="33" t="n">
        <v>2</v>
      </c>
      <c r="I11" s="33" t="n">
        <v>1</v>
      </c>
      <c r="J11" s="33" t="n"/>
      <c r="K11" s="33" t="n"/>
      <c r="L11" s="33" t="n"/>
      <c r="M11" s="33" t="n"/>
      <c r="N11" s="33" t="n"/>
      <c r="O11" s="33" t="n"/>
      <c r="P11" s="33" t="n"/>
      <c r="Q11" s="33">
        <f>SUM(C11:P11)</f>
        <v>7</v>
      </c>
    </row>
    <row r="12">
      <c r="A12" s="32" t="inlineStr">
        <is>
          <t>E3-H11: Finalizar la compra por WhatsApp</t>
        </is>
      </c>
      <c r="B12" s="33" t="n">
        <v>4</v>
      </c>
      <c r="C12" s="33" t="n"/>
      <c r="D12" s="33" t="n"/>
      <c r="E12" s="33" t="n"/>
      <c r="F12" s="33" t="n"/>
      <c r="G12" s="33" t="n"/>
      <c r="H12" s="33" t="n">
        <v>1</v>
      </c>
      <c r="I12" s="33" t="n">
        <v>3</v>
      </c>
      <c r="J12" s="33" t="n"/>
      <c r="K12" s="33" t="n"/>
      <c r="L12" s="33" t="n"/>
      <c r="M12" s="33" t="n"/>
      <c r="N12" s="33" t="n"/>
      <c r="O12" s="33" t="n"/>
      <c r="P12" s="33" t="n"/>
      <c r="Q12" s="33">
        <f>SUM(C12:P12)</f>
        <v>4</v>
      </c>
    </row>
    <row r="13">
      <c r="A13" s="32" t="inlineStr">
        <is>
          <t>E7-H4: Acceso visible a WhatsApp con mensaje preparado</t>
        </is>
      </c>
      <c r="B13" s="33" t="n">
        <v>3</v>
      </c>
      <c r="C13" s="33" t="n"/>
      <c r="D13" s="33" t="n"/>
      <c r="E13" s="33" t="n"/>
      <c r="F13" s="33" t="n"/>
      <c r="G13" s="33" t="n">
        <v>1</v>
      </c>
      <c r="H13" s="33" t="n"/>
      <c r="I13" s="33" t="n">
        <v>1</v>
      </c>
      <c r="J13" s="33" t="n">
        <v>1</v>
      </c>
      <c r="K13" s="33" t="n"/>
      <c r="L13" s="33" t="n"/>
      <c r="M13" s="33" t="n"/>
      <c r="N13" s="33" t="n"/>
      <c r="O13" s="33" t="n"/>
      <c r="P13" s="33" t="n"/>
      <c r="Q13" s="33">
        <f>SUM(C13:P13)</f>
        <v>3</v>
      </c>
    </row>
    <row r="14">
      <c r="A14" s="32" t="inlineStr">
        <is>
          <t>E2-H8: Filtrar y ordenar por categoría, precio y stock</t>
        </is>
      </c>
      <c r="B14" s="33" t="n">
        <v>9</v>
      </c>
      <c r="C14" s="33" t="n"/>
      <c r="D14" s="33" t="n"/>
      <c r="E14" s="33" t="n"/>
      <c r="F14" s="33" t="n"/>
      <c r="G14" s="33" t="n"/>
      <c r="H14" s="33" t="n"/>
      <c r="I14" s="33" t="n">
        <v>5</v>
      </c>
      <c r="J14" s="33" t="n">
        <v>4</v>
      </c>
      <c r="K14" s="33" t="n"/>
      <c r="L14" s="33" t="n"/>
      <c r="M14" s="33" t="n"/>
      <c r="N14" s="33" t="n"/>
      <c r="O14" s="33" t="n"/>
      <c r="P14" s="33" t="n"/>
      <c r="Q14" s="33">
        <f>SUM(C14:P14)</f>
        <v>9</v>
      </c>
    </row>
    <row r="15">
      <c r="A15" s="32" t="inlineStr">
        <is>
          <t>E1-H6: Gestionar cuentas de administración</t>
        </is>
      </c>
      <c r="B15" s="33" t="n">
        <v>9</v>
      </c>
      <c r="C15" s="33" t="n"/>
      <c r="D15" s="33" t="n"/>
      <c r="E15" s="33" t="n"/>
      <c r="F15" s="33" t="n"/>
      <c r="G15" s="33" t="n"/>
      <c r="H15" s="33" t="n">
        <v>2</v>
      </c>
      <c r="I15" s="33" t="n">
        <v>2</v>
      </c>
      <c r="J15" s="33" t="n">
        <v>5</v>
      </c>
      <c r="K15" s="33" t="n"/>
      <c r="L15" s="33" t="n"/>
      <c r="M15" s="33" t="n"/>
      <c r="N15" s="33" t="n"/>
      <c r="O15" s="33" t="n"/>
      <c r="P15" s="33" t="n"/>
      <c r="Q15" s="33">
        <f>SUM(C15:P15)</f>
        <v>9</v>
      </c>
    </row>
    <row r="16">
      <c r="A16" s="32" t="inlineStr">
        <is>
          <t>E1-H7: Roles Administrador y Vendedor</t>
        </is>
      </c>
      <c r="B16" s="33" t="n">
        <v>11</v>
      </c>
      <c r="C16" s="33" t="n"/>
      <c r="D16" s="33" t="n"/>
      <c r="E16" s="33" t="n"/>
      <c r="F16" s="33" t="n"/>
      <c r="G16" s="33" t="n"/>
      <c r="H16" s="33" t="n"/>
      <c r="I16" s="33" t="n"/>
      <c r="J16" s="33" t="n">
        <v>3</v>
      </c>
      <c r="K16" s="33" t="n">
        <v>8</v>
      </c>
      <c r="L16" s="33" t="n"/>
      <c r="M16" s="33" t="n"/>
      <c r="N16" s="33" t="n"/>
      <c r="O16" s="33" t="n"/>
      <c r="P16" s="33" t="n"/>
      <c r="Q16" s="33">
        <f>SUM(C16:P16)</f>
        <v>11</v>
      </c>
    </row>
    <row r="17">
      <c r="A17" s="32" t="inlineStr">
        <is>
          <t>E6-H6: Dashboard con indicadores clave</t>
        </is>
      </c>
      <c r="B17" s="33" t="n">
        <v>9</v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>
        <v>4</v>
      </c>
      <c r="L17" s="33" t="n">
        <v>1</v>
      </c>
      <c r="M17" s="33" t="n">
        <v>4</v>
      </c>
      <c r="N17" s="33" t="n"/>
      <c r="O17" s="33" t="n"/>
      <c r="P17" s="33" t="n"/>
      <c r="Q17" s="33">
        <f>SUM(C17:P17)</f>
        <v>9</v>
      </c>
    </row>
    <row r="18">
      <c r="A18" s="32" t="inlineStr">
        <is>
          <t>E6-H11: Editar banners y páginas informativas</t>
        </is>
      </c>
      <c r="B18" s="33" t="n">
        <v>7</v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>
        <v>2</v>
      </c>
      <c r="L18" s="33" t="n">
        <v>1</v>
      </c>
      <c r="M18" s="33" t="n">
        <v>2</v>
      </c>
      <c r="N18" s="33" t="n">
        <v>2</v>
      </c>
      <c r="O18" s="33" t="n"/>
      <c r="P18" s="33" t="n"/>
      <c r="Q18" s="33">
        <f>SUM(C18:P18)</f>
        <v>7</v>
      </c>
    </row>
    <row r="19">
      <c r="A19" s="32" t="inlineStr">
        <is>
          <t>E6-H12: Reportes de ventas y búsquedas exportables</t>
        </is>
      </c>
      <c r="B19" s="33" t="n">
        <v>11</v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>
        <v>5</v>
      </c>
      <c r="N19" s="33" t="n">
        <v>4</v>
      </c>
      <c r="O19" s="33" t="n">
        <v>2</v>
      </c>
      <c r="P19" s="33" t="n"/>
      <c r="Q19" s="33">
        <f>SUM(C19:P19)</f>
        <v>11</v>
      </c>
    </row>
    <row r="20">
      <c r="A20" s="32" t="inlineStr">
        <is>
          <t>E8-H1: Title y meta description únicos</t>
        </is>
      </c>
      <c r="B20" s="33" t="n">
        <v>4</v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>
        <v>3</v>
      </c>
      <c r="O20" s="33" t="n">
        <v>1</v>
      </c>
      <c r="P20" s="33" t="n"/>
      <c r="Q20" s="33">
        <f>SUM(C20:P20)</f>
        <v>4</v>
      </c>
    </row>
    <row r="21">
      <c r="A21" s="32" t="inlineStr">
        <is>
          <t>E8-H3: Direcciones (URL) legibles</t>
        </is>
      </c>
      <c r="B21" s="33" t="n">
        <v>7</v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>
        <v>3</v>
      </c>
      <c r="P21" s="33" t="n">
        <v>4</v>
      </c>
      <c r="Q21" s="33">
        <f>SUM(C21:P21)</f>
        <v>7</v>
      </c>
    </row>
    <row r="22">
      <c r="A22" s="32" t="inlineStr">
        <is>
          <t>E8-H4: Datos estructurados Schema.org</t>
        </is>
      </c>
      <c r="B22" s="33" t="n">
        <v>4</v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>
        <v>1</v>
      </c>
      <c r="O22" s="33" t="n">
        <v>1</v>
      </c>
      <c r="P22" s="33" t="n">
        <v>2</v>
      </c>
      <c r="Q22" s="33">
        <f>SUM(C22:P22)</f>
        <v>4</v>
      </c>
    </row>
    <row r="23">
      <c r="A23" s="32" t="inlineStr">
        <is>
          <t>E8-H7: Migas de pan en fichas y categorías</t>
        </is>
      </c>
      <c r="B23" s="33" t="n">
        <v>3</v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>
        <v>3</v>
      </c>
      <c r="Q23" s="33">
        <f>SUM(C23:P23)</f>
        <v>3</v>
      </c>
    </row>
    <row r="24">
      <c r="A24" s="32" t="inlineStr">
        <is>
          <t>E8-H6: Medición con Google Analytics 4</t>
        </is>
      </c>
      <c r="B24" s="33" t="n">
        <v>7</v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>
        <v>7</v>
      </c>
      <c r="Q24" s="33">
        <f>SUM(C24:P24)</f>
        <v>7</v>
      </c>
    </row>
    <row r="26">
      <c r="A26" s="34" t="inlineStr">
        <is>
          <t>Reales de producto por realizar</t>
        </is>
      </c>
      <c r="B26" s="35">
        <f>SUM(B5:B24)</f>
        <v>134</v>
      </c>
      <c r="C26" s="35">
        <f>B26-SUM(C5:C24)</f>
        <v>128</v>
      </c>
      <c r="D26" s="35">
        <f>C26-SUM(D5:D24)</f>
        <v>122</v>
      </c>
      <c r="E26" s="35">
        <f>D26-SUM(E5:E24)</f>
        <v>115</v>
      </c>
      <c r="F26" s="35">
        <f>E26-SUM(F5:F24)</f>
        <v>102</v>
      </c>
      <c r="G26" s="35">
        <f>F26-SUM(G5:G24)</f>
        <v>95</v>
      </c>
      <c r="H26" s="35">
        <f>G26-SUM(H5:H24)</f>
        <v>85</v>
      </c>
      <c r="I26" s="35">
        <f>H26-SUM(I5:I24)</f>
        <v>73</v>
      </c>
      <c r="J26" s="35">
        <f>I26-SUM(J5:J24)</f>
        <v>60</v>
      </c>
      <c r="K26" s="35">
        <f>J26-SUM(K5:K24)</f>
        <v>46</v>
      </c>
      <c r="L26" s="35">
        <f>K26-SUM(L5:L24)</f>
        <v>44</v>
      </c>
      <c r="M26" s="35">
        <f>L26-SUM(M5:M24)</f>
        <v>33</v>
      </c>
      <c r="N26" s="35">
        <f>M26-SUM(N5:N24)</f>
        <v>23</v>
      </c>
      <c r="O26" s="35">
        <f>N26-SUM(O5:O24)</f>
        <v>16</v>
      </c>
      <c r="P26" s="35">
        <f>O26-SUM(P5:P24)</f>
        <v>0</v>
      </c>
    </row>
    <row r="28">
      <c r="A28" s="34" t="inlineStr">
        <is>
          <t>Estimadas de producto por realizar</t>
        </is>
      </c>
      <c r="B28" s="36">
        <f>SUM(B5:B24)</f>
        <v>134</v>
      </c>
      <c r="C28" s="36">
        <f>$B$28-SUM($B$5:$B$24)*C$4/COUNT($C$4:$P$4)</f>
        <v>124.428571428571</v>
      </c>
      <c r="D28" s="36">
        <f>$B$28-SUM($B$5:$B$24)*D$4/COUNT($C$4:$P$4)</f>
        <v>114.857142857143</v>
      </c>
      <c r="E28" s="36">
        <f>$B$28-SUM($B$5:$B$24)*E$4/COUNT($C$4:$P$4)</f>
        <v>105.285714285714</v>
      </c>
      <c r="F28" s="36">
        <f>$B$28-SUM($B$5:$B$24)*F$4/COUNT($C$4:$P$4)</f>
        <v>95.7142857142857</v>
      </c>
      <c r="G28" s="36">
        <f>$B$28-SUM($B$5:$B$24)*G$4/COUNT($C$4:$P$4)</f>
        <v>86.1428571428571</v>
      </c>
      <c r="H28" s="36">
        <f>$B$28-SUM($B$5:$B$24)*H$4/COUNT($C$4:$P$4)</f>
        <v>76.5714285714286</v>
      </c>
      <c r="I28" s="36">
        <f>$B$28-SUM($B$5:$B$24)*I$4/COUNT($C$4:$P$4)</f>
        <v>67</v>
      </c>
      <c r="J28" s="36">
        <f>$B$28-SUM($B$5:$B$24)*J$4/COUNT($C$4:$P$4)</f>
        <v>57.4285714285714</v>
      </c>
      <c r="K28" s="36">
        <f>$B$28-SUM($B$5:$B$24)*K$4/COUNT($C$4:$P$4)</f>
        <v>47.8571428571429</v>
      </c>
      <c r="L28" s="36">
        <f>$B$28-SUM($B$5:$B$24)*L$4/COUNT($C$4:$P$4)</f>
        <v>38.2857142857143</v>
      </c>
      <c r="M28" s="36">
        <f>$B$28-SUM($B$5:$B$24)*M$4/COUNT($C$4:$P$4)</f>
        <v>28.7142857142857</v>
      </c>
      <c r="N28" s="36">
        <f>$B$28-SUM($B$5:$B$24)*N$4/COUNT($C$4:$P$4)</f>
        <v>19.1428571428571</v>
      </c>
      <c r="O28" s="36">
        <f>$B$28-SUM($B$5:$B$24)*O$4/COUNT($C$4:$P$4)</f>
        <v>9.57142857142857</v>
      </c>
      <c r="P28" s="36">
        <f>$B$28-SUM($B$5:$B$24)*P$4/COUNT($C$4:$P$4)</f>
        <v>0</v>
      </c>
    </row>
    <row r="30">
      <c r="A30" s="37" t="inlineStr">
        <is>
          <t>Historias de usuario del Documento de Épicas e Historias de Usuario (pase el cursor sobre cada historia para ver su enunciado completo).</t>
        </is>
      </c>
    </row>
    <row r="31">
      <c r="A31" s="37" t="inlineStr">
        <is>
          <t>DIA: 14 días hábiles entre el 23/11/2026 y el 11/12/2026 (la fila Fecha indica cada día); se excluye el feriado 08/12 (Inmaculada Concepción).</t>
        </is>
      </c>
    </row>
  </sheetData>
  <mergeCells count="4">
    <mergeCell ref="Q3:Q4"/>
    <mergeCell ref="B3:B4"/>
    <mergeCell ref="C3:P3"/>
    <mergeCell ref="A3:A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26" min="1" max="1"/>
    <col width="17" customWidth="1" style="26" min="2" max="2"/>
    <col width="6.3" customWidth="1" style="26" min="3" max="3"/>
    <col width="6.3" customWidth="1" style="26" min="4" max="4"/>
    <col width="6.3" customWidth="1" style="26" min="5" max="5"/>
    <col width="6.3" customWidth="1" style="26" min="6" max="6"/>
    <col width="6.3" customWidth="1" style="26" min="7" max="7"/>
    <col width="6.3" customWidth="1" style="26" min="8" max="8"/>
    <col width="6.3" customWidth="1" style="26" min="9" max="9"/>
    <col width="6.3" customWidth="1" style="26" min="10" max="10"/>
    <col width="6.3" customWidth="1" style="26" min="11" max="11"/>
    <col width="10.71" customWidth="1" style="26" min="12" max="12"/>
  </cols>
  <sheetData>
    <row r="1">
      <c r="A1" s="27" t="inlineStr">
        <is>
          <t>Control del Sprint</t>
        </is>
      </c>
      <c r="B1" s="28" t="inlineStr">
        <is>
          <t>Sprint 9: Pruebas de calidad y validación de catálogo (07/12/2026 al 18/12/2026)</t>
        </is>
      </c>
    </row>
    <row r="2">
      <c r="A2" s="29" t="inlineStr">
        <is>
          <t>Fecha</t>
        </is>
      </c>
      <c r="B2" s="30" t="inlineStr">
        <is>
          <t>Inicio</t>
        </is>
      </c>
      <c r="C2" s="30" t="inlineStr">
        <is>
          <t>07/12</t>
        </is>
      </c>
      <c r="D2" s="30" t="inlineStr">
        <is>
          <t>09/12</t>
        </is>
      </c>
      <c r="E2" s="30" t="inlineStr">
        <is>
          <t>10/12</t>
        </is>
      </c>
      <c r="F2" s="30" t="inlineStr">
        <is>
          <t>11/12</t>
        </is>
      </c>
      <c r="G2" s="30" t="inlineStr">
        <is>
          <t>14/12</t>
        </is>
      </c>
      <c r="H2" s="30" t="inlineStr">
        <is>
          <t>15/12</t>
        </is>
      </c>
      <c r="I2" s="30" t="inlineStr">
        <is>
          <t>16/12</t>
        </is>
      </c>
      <c r="J2" s="30" t="inlineStr">
        <is>
          <t>17/12</t>
        </is>
      </c>
      <c r="K2" s="30" t="inlineStr">
        <is>
          <t>18/12</t>
        </is>
      </c>
    </row>
    <row r="3">
      <c r="A3" s="31" t="inlineStr">
        <is>
          <t>Historias de Usuario</t>
        </is>
      </c>
      <c r="B3" s="31" t="inlineStr">
        <is>
          <t>horas estimadas</t>
        </is>
      </c>
      <c r="C3" s="31" t="inlineStr">
        <is>
          <t>DIA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inlineStr">
        <is>
          <t>Total</t>
        </is>
      </c>
    </row>
    <row r="4">
      <c r="A4" s="31" t="n"/>
      <c r="B4" s="31" t="n"/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/>
    </row>
    <row r="5">
      <c r="A5" s="32" t="inlineStr">
        <is>
          <t>E6-H8: Importar productos, precios y stock desde CSV o Excel</t>
        </is>
      </c>
      <c r="B5" s="33" t="n">
        <v>17</v>
      </c>
      <c r="C5" s="33" t="n">
        <v>7</v>
      </c>
      <c r="D5" s="33" t="n">
        <v>4</v>
      </c>
      <c r="E5" s="33" t="n">
        <v>6</v>
      </c>
      <c r="F5" s="33" t="n"/>
      <c r="G5" s="33" t="n"/>
      <c r="H5" s="33" t="n"/>
      <c r="I5" s="33" t="n"/>
      <c r="J5" s="33" t="n"/>
      <c r="K5" s="33" t="n"/>
      <c r="L5" s="33">
        <f>SUM(C5:K5)</f>
        <v>17</v>
      </c>
    </row>
    <row r="6">
      <c r="A6" s="32" t="inlineStr">
        <is>
          <t>E8-H9: Texto alternativo en imágenes de producto</t>
        </is>
      </c>
      <c r="B6" s="33" t="n">
        <v>3</v>
      </c>
      <c r="C6" s="33" t="n"/>
      <c r="D6" s="33" t="n">
        <v>1</v>
      </c>
      <c r="E6" s="33" t="n">
        <v>1</v>
      </c>
      <c r="F6" s="33" t="n">
        <v>1</v>
      </c>
      <c r="G6" s="33" t="n"/>
      <c r="H6" s="33" t="n"/>
      <c r="I6" s="33" t="n"/>
      <c r="J6" s="33" t="n"/>
      <c r="K6" s="33" t="n"/>
      <c r="L6" s="33">
        <f>SUM(C6:K6)</f>
        <v>3</v>
      </c>
    </row>
    <row r="7">
      <c r="A7" s="32" t="inlineStr">
        <is>
          <t>E8-H2: Sitemap.xml y robots.txt</t>
        </is>
      </c>
      <c r="B7" s="33" t="n">
        <v>6</v>
      </c>
      <c r="C7" s="33" t="n"/>
      <c r="D7" s="33" t="n"/>
      <c r="E7" s="33" t="n">
        <v>2</v>
      </c>
      <c r="F7" s="33" t="n">
        <v>2</v>
      </c>
      <c r="G7" s="33" t="n">
        <v>2</v>
      </c>
      <c r="H7" s="33" t="n"/>
      <c r="I7" s="33" t="n"/>
      <c r="J7" s="33" t="n"/>
      <c r="K7" s="33" t="n"/>
      <c r="L7" s="33">
        <f>SUM(C7:K7)</f>
        <v>6</v>
      </c>
    </row>
    <row r="8">
      <c r="A8" s="32" t="inlineStr">
        <is>
          <t>E8-H5: Etiquetas Open Graph</t>
        </is>
      </c>
      <c r="B8" s="33" t="n">
        <v>3</v>
      </c>
      <c r="C8" s="33" t="n"/>
      <c r="D8" s="33" t="n"/>
      <c r="E8" s="33" t="n"/>
      <c r="F8" s="33" t="n">
        <v>3</v>
      </c>
      <c r="G8" s="33" t="n"/>
      <c r="H8" s="33" t="n"/>
      <c r="I8" s="33" t="n"/>
      <c r="J8" s="33" t="n"/>
      <c r="K8" s="33" t="n"/>
      <c r="L8" s="33">
        <f>SUM(C8:K8)</f>
        <v>3</v>
      </c>
    </row>
    <row r="9">
      <c r="A9" s="32" t="inlineStr">
        <is>
          <t>E10-H8: Carga rápida de páginas</t>
        </is>
      </c>
      <c r="B9" s="33" t="n">
        <v>14</v>
      </c>
      <c r="C9" s="33" t="n"/>
      <c r="D9" s="33" t="n"/>
      <c r="E9" s="33" t="n"/>
      <c r="F9" s="33" t="n">
        <v>5</v>
      </c>
      <c r="G9" s="33" t="n">
        <v>5</v>
      </c>
      <c r="H9" s="33" t="n">
        <v>4</v>
      </c>
      <c r="I9" s="33" t="n"/>
      <c r="J9" s="33" t="n"/>
      <c r="K9" s="33" t="n"/>
      <c r="L9" s="33">
        <f>SUM(C9:K9)</f>
        <v>14</v>
      </c>
    </row>
    <row r="10">
      <c r="A10" s="32" t="inlineStr">
        <is>
          <t>E9-H5: Accesibilidad con teclado y lectores de pantalla</t>
        </is>
      </c>
      <c r="B10" s="33" t="n">
        <v>9</v>
      </c>
      <c r="C10" s="33" t="n"/>
      <c r="D10" s="33" t="n"/>
      <c r="E10" s="33" t="n"/>
      <c r="F10" s="33" t="n"/>
      <c r="G10" s="33" t="n"/>
      <c r="H10" s="33" t="n">
        <v>3</v>
      </c>
      <c r="I10" s="33" t="n">
        <v>4</v>
      </c>
      <c r="J10" s="33" t="n">
        <v>2</v>
      </c>
      <c r="K10" s="33" t="n"/>
      <c r="L10" s="33">
        <f>SUM(C10:K10)</f>
        <v>9</v>
      </c>
    </row>
    <row r="11">
      <c r="A11" s="32" t="inlineStr">
        <is>
          <t>E10-H6: Datos personales con consentimiento</t>
        </is>
      </c>
      <c r="B11" s="33" t="n">
        <v>8</v>
      </c>
      <c r="C11" s="33" t="n"/>
      <c r="D11" s="33" t="n"/>
      <c r="E11" s="33" t="n"/>
      <c r="F11" s="33" t="n"/>
      <c r="G11" s="33" t="n"/>
      <c r="H11" s="33" t="n"/>
      <c r="I11" s="33" t="n">
        <v>3</v>
      </c>
      <c r="J11" s="33" t="n">
        <v>5</v>
      </c>
      <c r="K11" s="33" t="n"/>
      <c r="L11" s="33">
        <f>SUM(C11:K11)</f>
        <v>8</v>
      </c>
    </row>
    <row r="12">
      <c r="A12" s="32" t="inlineStr">
        <is>
          <t>E7-H5: Correos que llegan a la bandeja de entrada</t>
        </is>
      </c>
      <c r="B12" s="33" t="n">
        <v>6</v>
      </c>
      <c r="C12" s="33" t="n"/>
      <c r="D12" s="33" t="n"/>
      <c r="E12" s="33" t="n"/>
      <c r="F12" s="33" t="n"/>
      <c r="G12" s="33" t="n"/>
      <c r="H12" s="33" t="n">
        <v>1</v>
      </c>
      <c r="I12" s="33" t="n">
        <v>2</v>
      </c>
      <c r="J12" s="33" t="n">
        <v>1</v>
      </c>
      <c r="K12" s="33" t="n">
        <v>2</v>
      </c>
      <c r="L12" s="33">
        <f>SUM(C12:K12)</f>
        <v>6</v>
      </c>
    </row>
    <row r="13">
      <c r="A13" s="32" t="inlineStr">
        <is>
          <t>E10-H9: Respaldos automáticos y restauración probada</t>
        </is>
      </c>
      <c r="B13" s="33" t="n">
        <v>8</v>
      </c>
      <c r="C13" s="33" t="n"/>
      <c r="D13" s="33" t="n"/>
      <c r="E13" s="33" t="n"/>
      <c r="F13" s="33" t="n"/>
      <c r="G13" s="33" t="n"/>
      <c r="H13" s="33" t="n"/>
      <c r="I13" s="33" t="n"/>
      <c r="J13" s="33" t="n">
        <v>5</v>
      </c>
      <c r="K13" s="33" t="n">
        <v>3</v>
      </c>
      <c r="L13" s="33">
        <f>SUM(C13:K13)</f>
        <v>8</v>
      </c>
    </row>
    <row r="14">
      <c r="A14" s="32" t="inlineStr">
        <is>
          <t>E10-H10: Disponibilidad y detección de fallos</t>
        </is>
      </c>
      <c r="B14" s="33" t="n">
        <v>7</v>
      </c>
      <c r="C14" s="33" t="n"/>
      <c r="D14" s="33" t="n"/>
      <c r="E14" s="33" t="n"/>
      <c r="F14" s="33" t="n"/>
      <c r="G14" s="33" t="n"/>
      <c r="H14" s="33" t="n"/>
      <c r="I14" s="33" t="n"/>
      <c r="J14" s="33" t="n">
        <v>3</v>
      </c>
      <c r="K14" s="33" t="n">
        <v>4</v>
      </c>
      <c r="L14" s="33">
        <f>SUM(C14:K14)</f>
        <v>7</v>
      </c>
    </row>
    <row r="16">
      <c r="A16" s="34" t="inlineStr">
        <is>
          <t>Reales de producto por realizar</t>
        </is>
      </c>
      <c r="B16" s="35">
        <f>SUM(B5:B14)</f>
        <v>81</v>
      </c>
      <c r="C16" s="35">
        <f>B16-SUM(C5:C14)</f>
        <v>74</v>
      </c>
      <c r="D16" s="35">
        <f>C16-SUM(D5:D14)</f>
        <v>69</v>
      </c>
      <c r="E16" s="35">
        <f>D16-SUM(E5:E14)</f>
        <v>60</v>
      </c>
      <c r="F16" s="35">
        <f>E16-SUM(F5:F14)</f>
        <v>49</v>
      </c>
      <c r="G16" s="35">
        <f>F16-SUM(G5:G14)</f>
        <v>42</v>
      </c>
      <c r="H16" s="35">
        <f>G16-SUM(H5:H14)</f>
        <v>34</v>
      </c>
      <c r="I16" s="35">
        <f>H16-SUM(I5:I14)</f>
        <v>25</v>
      </c>
      <c r="J16" s="35">
        <f>I16-SUM(J5:J14)</f>
        <v>9</v>
      </c>
      <c r="K16" s="35">
        <f>J16-SUM(K5:K14)</f>
        <v>0</v>
      </c>
    </row>
    <row r="18">
      <c r="A18" s="34" t="inlineStr">
        <is>
          <t>Estimadas de producto por realizar</t>
        </is>
      </c>
      <c r="B18" s="36">
        <f>SUM(B5:B14)</f>
        <v>81</v>
      </c>
      <c r="C18" s="36">
        <f>$B$18-SUM($B$5:$B$14)*C$4/COUNT($C$4:$K$4)</f>
        <v>72</v>
      </c>
      <c r="D18" s="36">
        <f>$B$18-SUM($B$5:$B$14)*D$4/COUNT($C$4:$K$4)</f>
        <v>63</v>
      </c>
      <c r="E18" s="36">
        <f>$B$18-SUM($B$5:$B$14)*E$4/COUNT($C$4:$K$4)</f>
        <v>54</v>
      </c>
      <c r="F18" s="36">
        <f>$B$18-SUM($B$5:$B$14)*F$4/COUNT($C$4:$K$4)</f>
        <v>45</v>
      </c>
      <c r="G18" s="36">
        <f>$B$18-SUM($B$5:$B$14)*G$4/COUNT($C$4:$K$4)</f>
        <v>36</v>
      </c>
      <c r="H18" s="36">
        <f>$B$18-SUM($B$5:$B$14)*H$4/COUNT($C$4:$K$4)</f>
        <v>27</v>
      </c>
      <c r="I18" s="36">
        <f>$B$18-SUM($B$5:$B$14)*I$4/COUNT($C$4:$K$4)</f>
        <v>18</v>
      </c>
      <c r="J18" s="36">
        <f>$B$18-SUM($B$5:$B$14)*J$4/COUNT($C$4:$K$4)</f>
        <v>9</v>
      </c>
      <c r="K18" s="36">
        <f>$B$18-SUM($B$5:$B$14)*K$4/COUNT($C$4:$K$4)</f>
        <v>0</v>
      </c>
    </row>
    <row r="20">
      <c r="A20" s="37" t="inlineStr">
        <is>
          <t>Historias de usuario del Documento de Épicas e Historias de Usuario (pase el cursor sobre cada historia para ver su enunciado completo).</t>
        </is>
      </c>
    </row>
    <row r="21">
      <c r="A21" s="37" t="inlineStr">
        <is>
          <t>DIA: 9 días hábiles entre el 07/12/2026 y el 18/12/2026 (la fila Fecha indica cada día); se excluye el feriado 08/12 (Inmaculada Concepción).</t>
        </is>
      </c>
    </row>
  </sheetData>
  <mergeCells count="4">
    <mergeCell ref="B3:B4"/>
    <mergeCell ref="L3:L4"/>
    <mergeCell ref="A3:A4"/>
    <mergeCell ref="C3:K3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2026-10-07T01:58:02Z</dcterms:modified>
</cp:coreProperties>
</file>